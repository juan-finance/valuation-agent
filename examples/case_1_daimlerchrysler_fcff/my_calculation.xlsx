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an José\Downloads\Master 2\Valuation techniques\Devin\"/>
    </mc:Choice>
  </mc:AlternateContent>
  <xr:revisionPtr revIDLastSave="0" documentId="8_{4B78CAC6-27B3-4534-97FB-77753C310C1C}" xr6:coauthVersionLast="47" xr6:coauthVersionMax="47" xr10:uidLastSave="{00000000-0000-0000-0000-000000000000}"/>
  <bookViews>
    <workbookView xWindow="-120" yWindow="-120" windowWidth="20730" windowHeight="11040" xr2:uid="{7FF5D2D2-1869-423E-A5D9-B77E53553228}"/>
  </bookViews>
  <sheets>
    <sheet name="Valuation-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8" i="1" l="1"/>
  <c r="K36" i="1"/>
  <c r="K32" i="1"/>
  <c r="K30" i="1"/>
  <c r="K22" i="1"/>
  <c r="K21" i="1"/>
  <c r="K27" i="1" s="1"/>
  <c r="K12" i="1"/>
  <c r="K7" i="1"/>
  <c r="K31" i="1" s="1"/>
  <c r="K29" i="1" l="1"/>
  <c r="K35" i="1" s="1"/>
  <c r="K40" i="1" s="1"/>
  <c r="K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tc={619452E2-5461-48A5-9FA2-1B4C59275040}</author>
  </authors>
  <commentList>
    <comment ref="N31" authorId="0" shapeId="0" xr:uid="{619452E2-5461-48A5-9FA2-1B4C59275040}">
      <text>
        <t>[Comentario encadenado]
Su versión de Excel le permite leer este comentario encadenado; sin embargo, las ediciones que se apliquen se quitarán si el archivo se abre en una versión más reciente de Excel. Más información: https://go.microsoft.com/fwlink/?linkid=870924
Comentario:
    Average CRP of the countries the company exports</t>
      </text>
    </comment>
  </commentList>
</comments>
</file>

<file path=xl/sharedStrings.xml><?xml version="1.0" encoding="utf-8"?>
<sst xmlns="http://schemas.openxmlformats.org/spreadsheetml/2006/main" count="48" uniqueCount="44">
  <si>
    <t>Daimler Chrysler</t>
  </si>
  <si>
    <t>Daimler Chrysler is a mature firm in a mature industry. Consequently, the existing market share and level of competition limit the growth opportunities in the industry. The company can be considered a relatively new organization, with two different cultures regarding the use of debt. Daimler has traditionally been more conservative and bank-oriented than Chrysler; the debt ratio will probably change over time. You can assume that the long-term growth rate is 3%, the long-term German bond rate is 4.87%, and the market risk premium is 4%. The bottom-up (unlevered) beta for the automobile industry is 0.61, and the market values of Equity and Debt are E62.3b and E64.488b, respectively. There are 913,714 outstanding shares, and Daimler Chrysler is rated AAA (default spread=0.2%). The price-to-book ratio is around 2.4 for the Auto Truck and Automobile industry.</t>
  </si>
  <si>
    <t>g</t>
  </si>
  <si>
    <t>rf</t>
  </si>
  <si>
    <t>MRP</t>
  </si>
  <si>
    <t>bu</t>
  </si>
  <si>
    <t>bl</t>
  </si>
  <si>
    <t>=bu*(1+(1-T)*D/E)</t>
  </si>
  <si>
    <t>MV equity</t>
  </si>
  <si>
    <t>MV debt</t>
  </si>
  <si>
    <t>D/E</t>
  </si>
  <si>
    <t>a.	What method would you use for the evaluation?
b.	What are the reinvestment needs of the company, as a proportion of after-tax operating income?
c.	What are the expected Cash Flows?
d.	What is the appropriate discount rate?
e.	If the market price is E62.2, what investment strategy would you suggest?</t>
  </si>
  <si>
    <t>M/B</t>
  </si>
  <si>
    <t>Rating</t>
  </si>
  <si>
    <t>AAA</t>
  </si>
  <si>
    <t>DRP</t>
  </si>
  <si>
    <t>EBIT</t>
  </si>
  <si>
    <t>ROC</t>
  </si>
  <si>
    <t>= EBIT*(1-T) / (D t-1 + E t-1 + Mi t-1)</t>
  </si>
  <si>
    <t>Tax</t>
  </si>
  <si>
    <t>D t-1</t>
  </si>
  <si>
    <t>from case appendix</t>
  </si>
  <si>
    <t>E t-1</t>
  </si>
  <si>
    <t>Mi t-1</t>
  </si>
  <si>
    <t>RR</t>
  </si>
  <si>
    <t>=g/ROC</t>
  </si>
  <si>
    <t>WACC</t>
  </si>
  <si>
    <r>
      <t>=</t>
    </r>
    <r>
      <rPr>
        <sz val="11"/>
        <color theme="1"/>
        <rFont val="Aptos Narrow"/>
        <family val="2"/>
      </rPr>
      <t>∂</t>
    </r>
    <r>
      <rPr>
        <sz val="11"/>
        <color theme="1"/>
        <rFont val="Calibri"/>
        <family val="2"/>
      </rPr>
      <t>*Kd*(1-T) + (1-∂)*Ke</t>
    </r>
  </si>
  <si>
    <t>Kd</t>
  </si>
  <si>
    <t>=rf + DRP</t>
  </si>
  <si>
    <t>Ke</t>
  </si>
  <si>
    <t>=rf + bl*MRP</t>
  </si>
  <si>
    <t>we should add CRP</t>
  </si>
  <si>
    <t>∂</t>
  </si>
  <si>
    <t>=MVd / (MVd + MVe + MVmi)</t>
  </si>
  <si>
    <t>Vf</t>
  </si>
  <si>
    <t>+</t>
  </si>
  <si>
    <t>NOA</t>
  </si>
  <si>
    <t>cash/equivalents</t>
  </si>
  <si>
    <t>-</t>
  </si>
  <si>
    <t>MV mi</t>
  </si>
  <si>
    <t>MVE</t>
  </si>
  <si>
    <t>operating leases, R&amp;D, other country risks</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</si>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</sst>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_-* #,##0\ [$€-C0A]_-;\-* #,##0\ [$€-C0A]_-;_-* &quot;-&quot;??\ [$€-C0A]_-;_-@_-"/>
    <numFmt numFmtId="167" formatCode="0.0"/>
    <numFmt numFmtId="168" formatCode="_-* #,##0.00\ [$€-C0A]_-;\-* #,##0.00\ [$€-C0A]_-;_-* &quot;-&quot;??\ [$€-C0A]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i/>
      <sz val="11"/>
      <color theme="1"/>
      <name val="Calibri"/>
      <family val="2"/>
      <scheme val="minor"/>
    </font>
    <font>
      <sz val="11"/>
      <color theme="1"/>
      <name val="Aptos Narrow"/>
      <family val="2"/>
    </font>
    <font>
      <sz val="11"/>
      <color theme="1"/>
      <name val="Calibri"/>
      <family val="2"/>
    </font>
    <font>
      <sz val="9"/>
      <color indexed="81"/>
      <name val="Tahoma"/>
      <charset val="1"/>
    </font>
  </fonts>
  <fills count="5">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3" fillId="2" borderId="0" xfId="0" applyFont="1" applyFill="1" applyAlignment="1">
      <alignment horizontal="left"/>
    </xf>
    <xf numFmtId="0" fontId="4" fillId="0" borderId="0" xfId="0" applyFont="1"/>
    <xf numFmtId="0" fontId="4" fillId="0" borderId="0" xfId="0" applyFont="1" applyAlignment="1">
      <alignment horizontal="left" vertical="center" wrapText="1"/>
    </xf>
    <xf numFmtId="0" fontId="2" fillId="0" borderId="0" xfId="0" applyFont="1"/>
    <xf numFmtId="9" fontId="0" fillId="0" borderId="0" xfId="0" applyNumberFormat="1"/>
    <xf numFmtId="10" fontId="0" fillId="0" borderId="0" xfId="0" applyNumberFormat="1"/>
    <xf numFmtId="164" fontId="0" fillId="0" borderId="0" xfId="0" applyNumberFormat="1"/>
    <xf numFmtId="0" fontId="5" fillId="0" borderId="0" xfId="0" quotePrefix="1" applyFont="1"/>
    <xf numFmtId="165" fontId="0" fillId="0" borderId="0" xfId="0" applyNumberFormat="1"/>
    <xf numFmtId="0" fontId="4" fillId="0" borderId="0" xfId="0" applyFont="1" applyAlignment="1">
      <alignment horizontal="left" vertical="center"/>
    </xf>
    <xf numFmtId="0" fontId="0" fillId="0" borderId="0" xfId="0" applyAlignment="1">
      <alignment horizontal="right"/>
    </xf>
    <xf numFmtId="166" fontId="0" fillId="0" borderId="0" xfId="0" applyNumberFormat="1"/>
    <xf numFmtId="10" fontId="0" fillId="0" borderId="0" xfId="1" applyNumberFormat="1" applyFont="1"/>
    <xf numFmtId="0" fontId="5" fillId="0" borderId="0" xfId="0" applyFont="1"/>
    <xf numFmtId="0" fontId="2" fillId="3" borderId="0" xfId="0" applyFont="1" applyFill="1"/>
    <xf numFmtId="10" fontId="0" fillId="3" borderId="0" xfId="1" applyNumberFormat="1" applyFont="1" applyFill="1"/>
    <xf numFmtId="0" fontId="0" fillId="0" borderId="0" xfId="0" quotePrefix="1"/>
    <xf numFmtId="167" fontId="0" fillId="0" borderId="0" xfId="0" applyNumberFormat="1"/>
    <xf numFmtId="0" fontId="2" fillId="4" borderId="0" xfId="0" applyFont="1" applyFill="1"/>
    <xf numFmtId="166" fontId="0" fillId="4" borderId="0" xfId="0" applyNumberFormat="1" applyFill="1"/>
    <xf numFmtId="168" fontId="0" fillId="0" borderId="0" xfId="0" applyNumberForma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385535</xdr:colOff>
      <xdr:row>19</xdr:row>
      <xdr:rowOff>23132</xdr:rowOff>
    </xdr:from>
    <xdr:to>
      <xdr:col>7</xdr:col>
      <xdr:colOff>521607</xdr:colOff>
      <xdr:row>41</xdr:row>
      <xdr:rowOff>64621</xdr:rowOff>
    </xdr:to>
    <xdr:pic>
      <xdr:nvPicPr>
        <xdr:cNvPr id="2" name="Imagen 1">
          <a:extLst>
            <a:ext uri="{FF2B5EF4-FFF2-40B4-BE49-F238E27FC236}">
              <a16:creationId xmlns:a16="http://schemas.microsoft.com/office/drawing/2014/main" id="{95260E5A-6A20-43E0-81F2-F0252D1180F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841" t="26497" r="25773" b="9151"/>
        <a:stretch>
          <a:fillRect/>
        </a:stretch>
      </xdr:blipFill>
      <xdr:spPr bwMode="auto">
        <a:xfrm>
          <a:off x="385535" y="3671207"/>
          <a:ext cx="5470072" cy="4232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HINCAPIE MARTINEZ Juan" id="{40789630-A622-4C95-BD48-54B593EEAF67}" userId="S::juan.hincapie@audencia.com::252755fe-818b-40c9-aef5-724854b8944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31" dT="2026-10-15T13:19:07.03" personId="{40789630-A622-4C95-BD48-54B593EEAF67}" id="{619452E2-5461-48A5-9FA2-1B4C59275040}">
    <text>Average CRP of the countries the company exports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439F-54DB-4B8E-A037-5359B890B4FE}">
  <dimension ref="A1:N41"/>
  <sheetViews>
    <sheetView showGridLines="0" tabSelected="1" zoomScale="58" workbookViewId="0">
      <selection activeCell="Q14" sqref="Q14"/>
    </sheetView>
  </sheetViews>
  <sheetFormatPr baseColWidth="10" defaultRowHeight="15" x14ac:dyDescent="0.25"/>
  <cols>
    <col min="11" max="11" width="13.140625" bestFit="1" customWidth="1"/>
  </cols>
  <sheetData>
    <row r="1" spans="1:12" ht="15.75" x14ac:dyDescent="0.25">
      <c r="A1" s="1" t="s">
        <v>0</v>
      </c>
      <c r="B1" s="1"/>
      <c r="C1" s="1"/>
      <c r="D1" s="1"/>
      <c r="E1" s="1"/>
      <c r="F1" s="1"/>
      <c r="G1" s="1"/>
      <c r="H1" s="1"/>
    </row>
    <row r="2" spans="1:12" ht="15.75" x14ac:dyDescent="0.25">
      <c r="A2" s="2"/>
      <c r="B2" s="2"/>
      <c r="C2" s="2"/>
      <c r="D2" s="2"/>
      <c r="E2" s="2"/>
      <c r="F2" s="2"/>
      <c r="G2" s="2"/>
      <c r="H2" s="2"/>
    </row>
    <row r="3" spans="1:12" x14ac:dyDescent="0.25">
      <c r="A3" s="3" t="s">
        <v>1</v>
      </c>
      <c r="B3" s="3"/>
      <c r="C3" s="3"/>
      <c r="D3" s="3"/>
      <c r="E3" s="3"/>
      <c r="F3" s="3"/>
      <c r="G3" s="3"/>
      <c r="H3" s="3"/>
      <c r="J3" s="4" t="s">
        <v>2</v>
      </c>
      <c r="K3" s="5">
        <v>0.03</v>
      </c>
    </row>
    <row r="4" spans="1:12" x14ac:dyDescent="0.25">
      <c r="A4" s="3"/>
      <c r="B4" s="3"/>
      <c r="C4" s="3"/>
      <c r="D4" s="3"/>
      <c r="E4" s="3"/>
      <c r="F4" s="3"/>
      <c r="G4" s="3"/>
      <c r="H4" s="3"/>
      <c r="J4" s="4" t="s">
        <v>3</v>
      </c>
      <c r="K4" s="6">
        <v>4.87E-2</v>
      </c>
    </row>
    <row r="5" spans="1:12" x14ac:dyDescent="0.25">
      <c r="A5" s="3"/>
      <c r="B5" s="3"/>
      <c r="C5" s="3"/>
      <c r="D5" s="3"/>
      <c r="E5" s="3"/>
      <c r="F5" s="3"/>
      <c r="G5" s="3"/>
      <c r="H5" s="3"/>
      <c r="J5" s="4" t="s">
        <v>4</v>
      </c>
      <c r="K5" s="5">
        <v>0.04</v>
      </c>
    </row>
    <row r="6" spans="1:12" x14ac:dyDescent="0.25">
      <c r="A6" s="3"/>
      <c r="B6" s="3"/>
      <c r="C6" s="3"/>
      <c r="D6" s="3"/>
      <c r="E6" s="3"/>
      <c r="F6" s="3"/>
      <c r="G6" s="3"/>
      <c r="H6" s="3"/>
      <c r="J6" s="4" t="s">
        <v>5</v>
      </c>
      <c r="K6">
        <v>0.61</v>
      </c>
    </row>
    <row r="7" spans="1:12" x14ac:dyDescent="0.25">
      <c r="A7" s="3"/>
      <c r="B7" s="3"/>
      <c r="C7" s="3"/>
      <c r="D7" s="3"/>
      <c r="E7" s="3"/>
      <c r="F7" s="3"/>
      <c r="G7" s="3"/>
      <c r="H7" s="3"/>
      <c r="J7" s="4" t="s">
        <v>6</v>
      </c>
      <c r="K7" s="7">
        <f>K6*(1+(1-K22)*(K10/(K9+K14*0.691)))</f>
        <v>0.93634581070426448</v>
      </c>
      <c r="L7" s="8" t="s">
        <v>7</v>
      </c>
    </row>
    <row r="8" spans="1:12" x14ac:dyDescent="0.25">
      <c r="A8" s="3"/>
      <c r="B8" s="3"/>
      <c r="C8" s="3"/>
      <c r="D8" s="3"/>
      <c r="E8" s="3"/>
      <c r="F8" s="3"/>
      <c r="G8" s="3"/>
      <c r="H8" s="3"/>
    </row>
    <row r="9" spans="1:12" x14ac:dyDescent="0.25">
      <c r="A9" s="3"/>
      <c r="B9" s="3"/>
      <c r="C9" s="3"/>
      <c r="D9" s="3"/>
      <c r="E9" s="3"/>
      <c r="F9" s="3"/>
      <c r="G9" s="3"/>
      <c r="H9" s="3"/>
      <c r="J9" s="4" t="s">
        <v>8</v>
      </c>
      <c r="K9">
        <v>62.3</v>
      </c>
    </row>
    <row r="10" spans="1:12" x14ac:dyDescent="0.25">
      <c r="A10" s="3"/>
      <c r="B10" s="3"/>
      <c r="C10" s="3"/>
      <c r="D10" s="3"/>
      <c r="E10" s="3"/>
      <c r="F10" s="3"/>
      <c r="G10" s="3"/>
      <c r="H10" s="3"/>
      <c r="J10" s="4" t="s">
        <v>9</v>
      </c>
      <c r="K10" s="9">
        <v>64.488</v>
      </c>
    </row>
    <row r="11" spans="1:12" x14ac:dyDescent="0.25">
      <c r="A11" s="3"/>
      <c r="B11" s="3"/>
      <c r="C11" s="3"/>
      <c r="D11" s="3"/>
      <c r="E11" s="3"/>
      <c r="F11" s="3"/>
      <c r="G11" s="3"/>
      <c r="H11" s="3"/>
    </row>
    <row r="12" spans="1:12" ht="15.75" x14ac:dyDescent="0.25">
      <c r="A12" s="2"/>
      <c r="B12" s="2"/>
      <c r="C12" s="2"/>
      <c r="D12" s="2"/>
      <c r="E12" s="2"/>
      <c r="F12" s="2"/>
      <c r="G12" s="2"/>
      <c r="H12" s="2"/>
      <c r="J12" s="4" t="s">
        <v>10</v>
      </c>
      <c r="K12">
        <f>K10/K9</f>
        <v>1.0351203852327449</v>
      </c>
    </row>
    <row r="13" spans="1:12" x14ac:dyDescent="0.25">
      <c r="A13" s="3" t="s">
        <v>11</v>
      </c>
      <c r="B13" s="10"/>
      <c r="C13" s="10"/>
      <c r="D13" s="10"/>
      <c r="E13" s="10"/>
      <c r="F13" s="10"/>
      <c r="G13" s="10"/>
      <c r="H13" s="10"/>
    </row>
    <row r="14" spans="1:12" x14ac:dyDescent="0.25">
      <c r="A14" s="10"/>
      <c r="B14" s="10"/>
      <c r="C14" s="10"/>
      <c r="D14" s="10"/>
      <c r="E14" s="10"/>
      <c r="F14" s="10"/>
      <c r="G14" s="10"/>
      <c r="H14" s="10"/>
      <c r="J14" s="4" t="s">
        <v>12</v>
      </c>
      <c r="K14">
        <v>2.4</v>
      </c>
    </row>
    <row r="15" spans="1:12" x14ac:dyDescent="0.25">
      <c r="A15" s="10"/>
      <c r="B15" s="10"/>
      <c r="C15" s="10"/>
      <c r="D15" s="10"/>
      <c r="E15" s="10"/>
      <c r="F15" s="10"/>
      <c r="G15" s="10"/>
      <c r="H15" s="10"/>
    </row>
    <row r="16" spans="1:12" x14ac:dyDescent="0.25">
      <c r="A16" s="10"/>
      <c r="B16" s="10"/>
      <c r="C16" s="10"/>
      <c r="D16" s="10"/>
      <c r="E16" s="10"/>
      <c r="F16" s="10"/>
      <c r="G16" s="10"/>
      <c r="H16" s="10"/>
      <c r="J16" s="4" t="s">
        <v>13</v>
      </c>
      <c r="K16" s="11" t="s">
        <v>14</v>
      </c>
    </row>
    <row r="17" spans="1:14" x14ac:dyDescent="0.25">
      <c r="A17" s="10"/>
      <c r="B17" s="10"/>
      <c r="C17" s="10"/>
      <c r="D17" s="10"/>
      <c r="E17" s="10"/>
      <c r="F17" s="10"/>
      <c r="G17" s="10"/>
      <c r="H17" s="10"/>
      <c r="J17" s="4" t="s">
        <v>15</v>
      </c>
      <c r="K17" s="6">
        <v>2E-3</v>
      </c>
    </row>
    <row r="18" spans="1:14" x14ac:dyDescent="0.25">
      <c r="A18" s="10"/>
      <c r="B18" s="10"/>
      <c r="C18" s="10"/>
      <c r="D18" s="10"/>
      <c r="E18" s="10"/>
      <c r="F18" s="10"/>
      <c r="G18" s="10"/>
      <c r="H18" s="10"/>
    </row>
    <row r="19" spans="1:14" x14ac:dyDescent="0.25">
      <c r="J19" s="4" t="s">
        <v>16</v>
      </c>
      <c r="K19" s="12">
        <v>9324</v>
      </c>
    </row>
    <row r="21" spans="1:14" x14ac:dyDescent="0.25">
      <c r="J21" s="4" t="s">
        <v>17</v>
      </c>
      <c r="K21" s="13">
        <f>K19*(1-K22)/(K23+K24+K25)</f>
        <v>7.0847921306423978E-2</v>
      </c>
      <c r="L21" s="8" t="s">
        <v>18</v>
      </c>
    </row>
    <row r="22" spans="1:14" x14ac:dyDescent="0.25">
      <c r="J22" s="4" t="s">
        <v>19</v>
      </c>
      <c r="K22" s="13">
        <f>4533/9657</f>
        <v>0.4694004349176763</v>
      </c>
    </row>
    <row r="23" spans="1:14" x14ac:dyDescent="0.25">
      <c r="J23" s="4" t="s">
        <v>20</v>
      </c>
      <c r="K23" s="12">
        <v>38826</v>
      </c>
      <c r="L23" s="14" t="s">
        <v>21</v>
      </c>
    </row>
    <row r="24" spans="1:14" x14ac:dyDescent="0.25">
      <c r="J24" s="4" t="s">
        <v>22</v>
      </c>
      <c r="K24" s="12">
        <v>30367</v>
      </c>
      <c r="L24" s="14" t="s">
        <v>21</v>
      </c>
    </row>
    <row r="25" spans="1:14" x14ac:dyDescent="0.25">
      <c r="J25" s="4" t="s">
        <v>23</v>
      </c>
      <c r="K25" s="12">
        <v>637</v>
      </c>
      <c r="L25" s="14" t="s">
        <v>21</v>
      </c>
    </row>
    <row r="27" spans="1:14" x14ac:dyDescent="0.25">
      <c r="J27" s="4" t="s">
        <v>24</v>
      </c>
      <c r="K27" s="6">
        <f>K3/K21</f>
        <v>0.42344220475075273</v>
      </c>
      <c r="L27" s="8" t="s">
        <v>25</v>
      </c>
    </row>
    <row r="29" spans="1:14" x14ac:dyDescent="0.25">
      <c r="J29" s="15" t="s">
        <v>26</v>
      </c>
      <c r="K29" s="16">
        <f>K32*K30*(1-K22)+(1-K32)*K31</f>
        <v>5.6405462721823812E-2</v>
      </c>
      <c r="L29" s="17" t="s">
        <v>27</v>
      </c>
    </row>
    <row r="30" spans="1:14" x14ac:dyDescent="0.25">
      <c r="J30" s="4" t="s">
        <v>28</v>
      </c>
      <c r="K30" s="6">
        <f>K4+K17</f>
        <v>5.0700000000000002E-2</v>
      </c>
      <c r="L30" s="8" t="s">
        <v>29</v>
      </c>
    </row>
    <row r="31" spans="1:14" x14ac:dyDescent="0.25">
      <c r="J31" s="4" t="s">
        <v>30</v>
      </c>
      <c r="K31" s="6">
        <f>K4+K7*K5</f>
        <v>8.6153832428170582E-2</v>
      </c>
      <c r="L31" s="8" t="s">
        <v>31</v>
      </c>
      <c r="N31" s="17" t="s">
        <v>32</v>
      </c>
    </row>
    <row r="32" spans="1:14" x14ac:dyDescent="0.25">
      <c r="J32" s="4" t="s">
        <v>33</v>
      </c>
      <c r="K32" s="18">
        <f>K10/(K10+K9+K14*0.691)</f>
        <v>0.50206156030842441</v>
      </c>
      <c r="L32" s="8" t="s">
        <v>34</v>
      </c>
    </row>
    <row r="35" spans="9:13" x14ac:dyDescent="0.25">
      <c r="J35" s="4" t="s">
        <v>35</v>
      </c>
      <c r="K35" s="12">
        <f>K19*(1-K22)*(1-K27)*(1+K3)/(K29-K3)</f>
        <v>111264.19885625427</v>
      </c>
    </row>
    <row r="36" spans="9:13" x14ac:dyDescent="0.25">
      <c r="I36" s="17" t="s">
        <v>36</v>
      </c>
      <c r="J36" s="4" t="s">
        <v>37</v>
      </c>
      <c r="K36" s="12">
        <f>8969+9099</f>
        <v>18068</v>
      </c>
      <c r="L36" s="8" t="s">
        <v>38</v>
      </c>
    </row>
    <row r="37" spans="9:13" x14ac:dyDescent="0.25">
      <c r="I37" s="17" t="s">
        <v>39</v>
      </c>
      <c r="J37" s="4" t="s">
        <v>9</v>
      </c>
      <c r="K37" s="12">
        <v>64488</v>
      </c>
    </row>
    <row r="38" spans="9:13" x14ac:dyDescent="0.25">
      <c r="I38" s="17" t="s">
        <v>39</v>
      </c>
      <c r="J38" s="4" t="s">
        <v>40</v>
      </c>
      <c r="K38" s="12">
        <f>K14*691</f>
        <v>1658.3999999999999</v>
      </c>
    </row>
    <row r="40" spans="9:13" x14ac:dyDescent="0.25">
      <c r="J40" s="19" t="s">
        <v>41</v>
      </c>
      <c r="K40" s="20">
        <f>K35+K36-K37-K38</f>
        <v>63185.798856254267</v>
      </c>
      <c r="M40" s="17" t="s">
        <v>42</v>
      </c>
    </row>
    <row r="41" spans="9:13" x14ac:dyDescent="0.25">
      <c r="J41" s="4" t="s">
        <v>43</v>
      </c>
      <c r="K41" s="21">
        <f>K40/913.714</f>
        <v>69.152709552720282</v>
      </c>
      <c r="L41" s="21"/>
    </row>
  </sheetData>
  <mergeCells count="3">
    <mergeCell ref="A1:H1"/>
    <mergeCell ref="A3:H11"/>
    <mergeCell ref="A13:H18"/>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Valuation-1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HINCAPIE MARTINEZ Juan</dc:creator>
  <cp:lastModifiedBy>HINCAPIE MARTINEZ Juan</cp:lastModifiedBy>
  <dcterms:created xsi:type="dcterms:W3CDTF">2026-10-27T01:51:05Z</dcterms:created>
  <dcterms:modified xsi:type="dcterms:W3CDTF">2026-10-27T01:51:29Z</dcterms:modified>
</cp:coreProperties>
</file>