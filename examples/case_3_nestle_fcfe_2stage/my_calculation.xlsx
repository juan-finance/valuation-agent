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an José\Downloads\Master 2\Valuation techniques\Devin\"/>
    </mc:Choice>
  </mc:AlternateContent>
  <xr:revisionPtr revIDLastSave="0" documentId="8_{53DEBCBC-5457-4CF8-A134-ADF79BFC40B6}" xr6:coauthVersionLast="47" xr6:coauthVersionMax="47" xr10:uidLastSave="{00000000-0000-0000-0000-000000000000}"/>
  <bookViews>
    <workbookView xWindow="-120" yWindow="-120" windowWidth="20730" windowHeight="11040" xr2:uid="{FDDEC3C8-CAC9-4242-8578-702664CFCB31}"/>
  </bookViews>
  <sheets>
    <sheet name="Valuation-3"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C22" i="1" l="1"/>
  <c r="Y22" i="1"/>
  <c r="AA21" i="1"/>
  <c r="AA20" i="1"/>
  <c r="AA19" i="1"/>
  <c r="AA18" i="1"/>
  <c r="AA17" i="1"/>
  <c r="AE16" i="1"/>
  <c r="AB16" i="1"/>
  <c r="Z16" i="1"/>
  <c r="J16" i="1"/>
  <c r="T15" i="1"/>
  <c r="S11" i="1"/>
  <c r="T11" i="1" s="1"/>
  <c r="X10" i="1"/>
  <c r="S10" i="1"/>
  <c r="T10" i="1" s="1"/>
  <c r="X9" i="1"/>
  <c r="S9" i="1"/>
  <c r="T9" i="1" s="1"/>
  <c r="Y8" i="1"/>
  <c r="AA22" i="1" s="1"/>
  <c r="S8" i="1"/>
  <c r="T8" i="1" s="1"/>
  <c r="S7" i="1"/>
  <c r="T7" i="1" s="1"/>
  <c r="W6" i="1"/>
  <c r="W7" i="1" s="1"/>
  <c r="X4" i="1" s="1"/>
  <c r="S6" i="1"/>
  <c r="T6" i="1" s="1"/>
  <c r="W5" i="1"/>
  <c r="S5" i="1"/>
  <c r="T5" i="1" s="1"/>
  <c r="S4" i="1"/>
  <c r="T4" i="1" s="1"/>
  <c r="T13" i="1" s="1"/>
  <c r="AC21" i="1" l="1"/>
  <c r="AC18" i="1"/>
  <c r="AC20" i="1"/>
  <c r="AC19" i="1"/>
  <c r="AC17" i="1"/>
  <c r="AG21" i="1"/>
  <c r="AG18" i="1"/>
  <c r="AG17" i="1"/>
  <c r="AG20" i="1"/>
  <c r="AG19" i="1"/>
  <c r="Y9" i="1"/>
  <c r="AG22" i="1" s="1"/>
  <c r="Y17" i="1"/>
  <c r="Y18" i="1"/>
  <c r="Y20" i="1"/>
  <c r="Y19" i="1"/>
  <c r="Y21" i="1"/>
  <c r="T20" i="1"/>
  <c r="Z17" i="1" l="1"/>
  <c r="AB17" i="1"/>
  <c r="AE17" i="1"/>
  <c r="AJ17" i="1"/>
  <c r="AJ20" i="1"/>
  <c r="AJ19" i="1"/>
  <c r="AJ18" i="1"/>
  <c r="AJ22" i="1"/>
  <c r="AJ21" i="1"/>
  <c r="Z18" i="1" l="1"/>
  <c r="AD17" i="1"/>
  <c r="AI17" i="1" s="1"/>
  <c r="AL17" i="1" s="1"/>
  <c r="AB18" i="1"/>
  <c r="AE18" i="1"/>
  <c r="AF17" i="1"/>
  <c r="AH17" i="1" s="1"/>
  <c r="Z19" i="1" l="1"/>
  <c r="AD18" i="1"/>
  <c r="AI18" i="1" s="1"/>
  <c r="AL18" i="1" s="1"/>
  <c r="AB19" i="1"/>
  <c r="AF18" i="1"/>
  <c r="AH18" i="1" s="1"/>
  <c r="AE19" i="1"/>
  <c r="Z20" i="1" l="1"/>
  <c r="AB20" i="1"/>
  <c r="AD19" i="1"/>
  <c r="AI19" i="1" s="1"/>
  <c r="AL19" i="1" s="1"/>
  <c r="AF19" i="1"/>
  <c r="AH19" i="1" s="1"/>
  <c r="AE20" i="1"/>
  <c r="Z21" i="1" l="1"/>
  <c r="AD20" i="1"/>
  <c r="AI20" i="1" s="1"/>
  <c r="AL20" i="1" s="1"/>
  <c r="AB21" i="1"/>
  <c r="AE21" i="1"/>
  <c r="AF20" i="1"/>
  <c r="AH20" i="1" s="1"/>
  <c r="Z22" i="1" l="1"/>
  <c r="AD21" i="1"/>
  <c r="AI21" i="1" s="1"/>
  <c r="AB22" i="1"/>
  <c r="AD22" i="1" s="1"/>
  <c r="AF21" i="1"/>
  <c r="AH21" i="1" s="1"/>
  <c r="AE22" i="1"/>
  <c r="AF22" i="1" s="1"/>
  <c r="AH22" i="1" s="1"/>
  <c r="AI22" i="1" l="1"/>
  <c r="AK21" i="1" s="1"/>
  <c r="AL21" i="1" s="1"/>
  <c r="AL24" i="1" s="1"/>
</calcChain>
</file>

<file path=xl/sharedStrings.xml><?xml version="1.0" encoding="utf-8"?>
<sst xmlns="http://schemas.openxmlformats.org/spreadsheetml/2006/main" count="71" uniqueCount="60">
  <si>
    <t>Nestlé</t>
  </si>
  <si>
    <t>Nestlé S.A. is a Swiss multinational nutritional and health-related consumer goods company, with headquarters Switzerland. It is the largest food company in the world measured by revenues. Average figures for the last 5 years exhibit a growth in EPS of 5%, while significant investments (acquisitions) have been undertaken. Consequently analysts expect a growth of about 11% in EPS, which will last for approximately 5 years. In addition, Nestle seems to keep a relatively low Debt ratio equal to 37.6%, which is expected to be the target for the following years. The market value D/E is 0.11 and Nestle pays an effective tax rate equal to 30.95%. Current figures from the latest annual report include the following:</t>
  </si>
  <si>
    <t>EPS</t>
  </si>
  <si>
    <t>SFR</t>
  </si>
  <si>
    <t>Area</t>
  </si>
  <si>
    <t>Revenues</t>
  </si>
  <si>
    <t>Risk Premium</t>
  </si>
  <si>
    <t>% rel. rev.</t>
  </si>
  <si>
    <t>weighted risk</t>
  </si>
  <si>
    <t>0-5</t>
  </si>
  <si>
    <t>5+</t>
  </si>
  <si>
    <t>DPS</t>
  </si>
  <si>
    <t>North America</t>
  </si>
  <si>
    <t>g</t>
  </si>
  <si>
    <t>=ROE*RR</t>
  </si>
  <si>
    <t>?????</t>
  </si>
  <si>
    <t>Revenue/Share</t>
  </si>
  <si>
    <t>South America</t>
  </si>
  <si>
    <t>ROE</t>
  </si>
  <si>
    <t>Capital Expenditure/Share</t>
  </si>
  <si>
    <t>Switzerland</t>
  </si>
  <si>
    <t>PR</t>
  </si>
  <si>
    <t>Depreciation/Share</t>
  </si>
  <si>
    <t>Germany/France/UK</t>
  </si>
  <si>
    <t>RR</t>
  </si>
  <si>
    <t>expected to drop to 16% after 5y</t>
  </si>
  <si>
    <t>Italy/Spain</t>
  </si>
  <si>
    <t>∂</t>
  </si>
  <si>
    <t>WC/Revenue</t>
  </si>
  <si>
    <t>expected to be stable and grow with Earnings</t>
  </si>
  <si>
    <t>Asia</t>
  </si>
  <si>
    <t>WC/Sales</t>
  </si>
  <si>
    <t>Net CapEx/Depreciations</t>
  </si>
  <si>
    <t>Current ratio is expected to drop to 50% after 5y</t>
  </si>
  <si>
    <t>Rest of W. Europe</t>
  </si>
  <si>
    <t>NCE/Dep</t>
  </si>
  <si>
    <t>Easy valuation</t>
  </si>
  <si>
    <t>Eastern Europe</t>
  </si>
  <si>
    <t>Multiples</t>
  </si>
  <si>
    <t>Valuation-2</t>
  </si>
  <si>
    <t xml:space="preserve">The industry bottom-up (unlevered) beta is 0.79, while the long term government bond rate pays a 4% return. The long term stable growth is expected to reach this level.
a.	What method would you use for the evaluation?
b.	What are the expected Cash Flows?
c.	What is the appropriate discount rate?
d.	The market price is 2906 Sfr. what investment strategy would you suggest? </t>
  </si>
  <si>
    <t>AVG MRP</t>
  </si>
  <si>
    <t>bl</t>
  </si>
  <si>
    <t>=bu*(1+(1-T)*D/E)</t>
  </si>
  <si>
    <t>Years</t>
  </si>
  <si>
    <t>NI</t>
  </si>
  <si>
    <t>Depreciation</t>
  </si>
  <si>
    <t>NCE</t>
  </si>
  <si>
    <t>Sales</t>
  </si>
  <si>
    <t>∆ Sales</t>
  </si>
  <si>
    <t>∆ NWC</t>
  </si>
  <si>
    <t>FCFE</t>
  </si>
  <si>
    <t>Ke</t>
  </si>
  <si>
    <t>TV</t>
  </si>
  <si>
    <t>DCF</t>
  </si>
  <si>
    <t>bu</t>
  </si>
  <si>
    <t>T</t>
  </si>
  <si>
    <t>D/E</t>
  </si>
  <si>
    <t>rf</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</si>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</sst>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_-* #,##0.00\ [$CHF-100C]_-;\-* #,##0.00\ [$CHF-100C]_-;_-* &quot;-&quot;??\ [$CHF-100C]_-;_-@_-"/>
    <numFmt numFmtId="168" formatCode="_-* #,##0\ [$€-C0A]_-;\-* #,##0\ [$€-C0A]_-;_-* &quot;-&quot;??\ [$€-C0A]_-;_-@_-"/>
    <numFmt numFmtId="169" formatCode="_-* #,##0.00\ [$€-C0A]_-;\-* #,##0.00\ [$€-C0A]_-;_-* &quot;-&quot;??\ [$€-C0A]_-;_-@_-"/>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
      <i/>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42"/>
        <bgColor indexed="64"/>
      </patternFill>
    </fill>
  </fills>
  <borders count="5">
    <border>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3" fillId="2" borderId="0" xfId="0" applyFont="1" applyFill="1" applyAlignment="1">
      <alignment horizontal="left"/>
    </xf>
    <xf numFmtId="0" fontId="4" fillId="0" borderId="0" xfId="0" applyFont="1"/>
    <xf numFmtId="0" fontId="4" fillId="0" borderId="0" xfId="0" applyFont="1" applyAlignment="1">
      <alignment horizontal="left" vertical="center" wrapText="1"/>
    </xf>
    <xf numFmtId="0" fontId="2" fillId="0" borderId="0" xfId="0" applyFont="1"/>
    <xf numFmtId="2" fontId="0" fillId="0" borderId="0" xfId="0" applyNumberFormat="1"/>
    <xf numFmtId="2" fontId="5" fillId="0" borderId="0" xfId="0" applyNumberFormat="1" applyFont="1"/>
    <xf numFmtId="0" fontId="2" fillId="0" borderId="0" xfId="0" applyFont="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164" fontId="0" fillId="0" borderId="0" xfId="0" applyNumberFormat="1"/>
    <xf numFmtId="10" fontId="0" fillId="0" borderId="0" xfId="1" applyNumberFormat="1" applyFont="1"/>
    <xf numFmtId="0" fontId="5" fillId="0" borderId="0" xfId="0" quotePrefix="1" applyFont="1"/>
    <xf numFmtId="10" fontId="0" fillId="0" borderId="3" xfId="0" applyNumberFormat="1" applyBorder="1"/>
    <xf numFmtId="9" fontId="0" fillId="0" borderId="0" xfId="0" applyNumberFormat="1"/>
    <xf numFmtId="0" fontId="0" fillId="0" borderId="0" xfId="0" quotePrefix="1"/>
    <xf numFmtId="0" fontId="0" fillId="0" borderId="4" xfId="0" applyBorder="1"/>
    <xf numFmtId="2" fontId="0" fillId="0" borderId="0" xfId="1" applyNumberFormat="1" applyFont="1"/>
    <xf numFmtId="2" fontId="5" fillId="0" borderId="0" xfId="1" applyNumberFormat="1" applyFont="1"/>
    <xf numFmtId="164" fontId="0" fillId="0" borderId="0" xfId="1" applyNumberFormat="1" applyFont="1"/>
    <xf numFmtId="10" fontId="5" fillId="0" borderId="0" xfId="1" applyNumberFormat="1" applyFont="1"/>
    <xf numFmtId="9" fontId="5" fillId="0" borderId="0" xfId="0" applyNumberFormat="1" applyFont="1"/>
    <xf numFmtId="164" fontId="0" fillId="0" borderId="4" xfId="1" applyNumberFormat="1" applyFont="1" applyBorder="1"/>
    <xf numFmtId="10" fontId="0" fillId="0" borderId="0" xfId="0" applyNumberFormat="1"/>
    <xf numFmtId="0" fontId="5" fillId="0" borderId="0" xfId="0" applyFont="1"/>
    <xf numFmtId="164" fontId="0" fillId="0" borderId="4" xfId="0" applyNumberFormat="1" applyBorder="1"/>
    <xf numFmtId="165" fontId="0" fillId="0" borderId="0" xfId="0" applyNumberFormat="1"/>
    <xf numFmtId="165" fontId="5" fillId="0" borderId="0" xfId="0" applyNumberFormat="1" applyFont="1"/>
    <xf numFmtId="0" fontId="4" fillId="0" borderId="0" xfId="0" applyFont="1" applyAlignment="1">
      <alignment vertical="center" wrapText="1"/>
    </xf>
    <xf numFmtId="0" fontId="2" fillId="3" borderId="0" xfId="0" applyFont="1" applyFill="1" applyAlignment="1">
      <alignment horizontal="right"/>
    </xf>
    <xf numFmtId="10" fontId="0" fillId="3" borderId="0" xfId="0" applyNumberFormat="1" applyFill="1"/>
    <xf numFmtId="0" fontId="2" fillId="4" borderId="0" xfId="0" applyFont="1" applyFill="1" applyAlignment="1">
      <alignment horizontal="center"/>
    </xf>
    <xf numFmtId="166" fontId="2" fillId="0" borderId="0" xfId="0" applyNumberFormat="1" applyFont="1"/>
    <xf numFmtId="0" fontId="0" fillId="0" borderId="0" xfId="0" applyAlignment="1">
      <alignment horizontal="center"/>
    </xf>
    <xf numFmtId="167" fontId="0" fillId="0" borderId="0" xfId="0" applyNumberFormat="1"/>
    <xf numFmtId="167" fontId="0" fillId="5" borderId="0" xfId="0" applyNumberFormat="1" applyFill="1"/>
    <xf numFmtId="168" fontId="0" fillId="0" borderId="0" xfId="0" applyNumberFormat="1"/>
    <xf numFmtId="0" fontId="2" fillId="0" borderId="0" xfId="0" applyFont="1" applyAlignment="1">
      <alignment horizontal="left"/>
    </xf>
    <xf numFmtId="10" fontId="0" fillId="0" borderId="0" xfId="1" applyNumberFormat="1" applyFont="1" applyFill="1"/>
    <xf numFmtId="166" fontId="0" fillId="0" borderId="0" xfId="0" applyNumberFormat="1"/>
    <xf numFmtId="169" fontId="0" fillId="0" borderId="0" xfId="0" applyNumberForma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16</xdr:col>
      <xdr:colOff>669017</xdr:colOff>
      <xdr:row>22</xdr:row>
      <xdr:rowOff>11339</xdr:rowOff>
    </xdr:from>
    <xdr:to>
      <xdr:col>22</xdr:col>
      <xdr:colOff>453571</xdr:colOff>
      <xdr:row>42</xdr:row>
      <xdr:rowOff>2911</xdr:rowOff>
    </xdr:to>
    <xdr:pic>
      <xdr:nvPicPr>
        <xdr:cNvPr id="2" name="Imagen 1">
          <a:extLst>
            <a:ext uri="{FF2B5EF4-FFF2-40B4-BE49-F238E27FC236}">
              <a16:creationId xmlns:a16="http://schemas.microsoft.com/office/drawing/2014/main" id="{499B5CC0-F08C-4E13-9AC9-0DCF6AB7636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154" t="30706" r="15929" b="25311"/>
        <a:stretch>
          <a:fillRect/>
        </a:stretch>
      </xdr:blipFill>
      <xdr:spPr bwMode="auto">
        <a:xfrm>
          <a:off x="14051642" y="4230914"/>
          <a:ext cx="4528004" cy="3801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0F27-D74F-431E-81FF-86DD8A084528}">
  <dimension ref="A1:AN41"/>
  <sheetViews>
    <sheetView showGridLines="0" tabSelected="1" zoomScale="84" workbookViewId="0">
      <selection activeCell="AK22" sqref="AK22"/>
    </sheetView>
  </sheetViews>
  <sheetFormatPr baseColWidth="10" defaultRowHeight="15" x14ac:dyDescent="0.25"/>
  <cols>
    <col min="10" max="10" width="24.5703125" bestFit="1" customWidth="1"/>
    <col min="11" max="11" width="7.85546875" bestFit="1" customWidth="1"/>
    <col min="12" max="14" width="11.42578125" customWidth="1"/>
    <col min="16" max="16" width="19.7109375" bestFit="1" customWidth="1"/>
    <col min="17" max="17" width="10.140625" bestFit="1" customWidth="1"/>
    <col min="18" max="18" width="13.7109375" bestFit="1" customWidth="1"/>
    <col min="20" max="20" width="13" bestFit="1" customWidth="1"/>
    <col min="23" max="23" width="11.28515625" customWidth="1"/>
    <col min="24" max="24" width="11.42578125" customWidth="1"/>
    <col min="26" max="26" width="12" bestFit="1" customWidth="1"/>
    <col min="28" max="28" width="12.42578125" bestFit="1" customWidth="1"/>
    <col min="31" max="31" width="13.5703125" bestFit="1" customWidth="1"/>
    <col min="32" max="32" width="12" bestFit="1" customWidth="1"/>
    <col min="35" max="35" width="13.5703125" bestFit="1" customWidth="1"/>
    <col min="37" max="38" width="13.5703125" bestFit="1" customWidth="1"/>
  </cols>
  <sheetData>
    <row r="1" spans="1:40" ht="15.75" x14ac:dyDescent="0.25">
      <c r="A1" s="1" t="s">
        <v>0</v>
      </c>
      <c r="B1" s="1"/>
      <c r="C1" s="1"/>
      <c r="D1" s="1"/>
      <c r="E1" s="1"/>
      <c r="F1" s="1"/>
      <c r="G1" s="1"/>
      <c r="H1" s="1"/>
    </row>
    <row r="2" spans="1:40" ht="15.75" x14ac:dyDescent="0.25">
      <c r="A2" s="2"/>
      <c r="B2" s="2"/>
      <c r="C2" s="2"/>
      <c r="D2" s="2"/>
      <c r="E2" s="2"/>
      <c r="F2" s="2"/>
      <c r="G2" s="2"/>
      <c r="H2" s="2"/>
    </row>
    <row r="3" spans="1:40" x14ac:dyDescent="0.25">
      <c r="A3" s="3" t="s">
        <v>1</v>
      </c>
      <c r="B3" s="3"/>
      <c r="C3" s="3"/>
      <c r="D3" s="3"/>
      <c r="E3" s="3"/>
      <c r="F3" s="3"/>
      <c r="G3" s="3"/>
      <c r="H3" s="3"/>
      <c r="J3" s="4" t="s">
        <v>2</v>
      </c>
      <c r="K3" s="5">
        <v>108.88</v>
      </c>
      <c r="L3" s="6" t="s">
        <v>3</v>
      </c>
      <c r="M3" s="5"/>
      <c r="N3" s="5"/>
      <c r="P3" s="7" t="s">
        <v>4</v>
      </c>
      <c r="Q3" s="7" t="s">
        <v>5</v>
      </c>
      <c r="R3" s="7" t="s">
        <v>6</v>
      </c>
      <c r="S3" s="7" t="s">
        <v>7</v>
      </c>
      <c r="T3" s="7" t="s">
        <v>8</v>
      </c>
      <c r="X3" s="8" t="s">
        <v>9</v>
      </c>
      <c r="Y3" s="9" t="s">
        <v>10</v>
      </c>
    </row>
    <row r="4" spans="1:40" x14ac:dyDescent="0.25">
      <c r="A4" s="3"/>
      <c r="B4" s="3"/>
      <c r="C4" s="3"/>
      <c r="D4" s="3"/>
      <c r="E4" s="3"/>
      <c r="F4" s="3"/>
      <c r="G4" s="3"/>
      <c r="H4" s="3"/>
      <c r="J4" s="4" t="s">
        <v>11</v>
      </c>
      <c r="K4" s="5">
        <v>38</v>
      </c>
      <c r="L4" s="6" t="s">
        <v>3</v>
      </c>
      <c r="M4" s="5"/>
      <c r="N4" s="5"/>
      <c r="P4" t="s">
        <v>12</v>
      </c>
      <c r="Q4">
        <v>17.5</v>
      </c>
      <c r="R4" s="10">
        <v>0.04</v>
      </c>
      <c r="S4" s="11">
        <f>Q4/(SUM($Q$4:$Q$11))</f>
        <v>0.24822695035460993</v>
      </c>
      <c r="T4" s="11">
        <f>R4*S4</f>
        <v>9.9290780141843976E-3</v>
      </c>
      <c r="V4" s="4" t="s">
        <v>13</v>
      </c>
      <c r="W4" s="12" t="s">
        <v>14</v>
      </c>
      <c r="X4" s="13">
        <f>W5*W7</f>
        <v>0.15382939015429831</v>
      </c>
      <c r="Y4" s="14">
        <v>0.04</v>
      </c>
      <c r="Z4" s="15" t="s">
        <v>15</v>
      </c>
    </row>
    <row r="5" spans="1:40" x14ac:dyDescent="0.25">
      <c r="A5" s="3"/>
      <c r="B5" s="3"/>
      <c r="C5" s="3"/>
      <c r="D5" s="3"/>
      <c r="E5" s="3"/>
      <c r="F5" s="3"/>
      <c r="G5" s="3"/>
      <c r="H5" s="3"/>
      <c r="J5" s="4" t="s">
        <v>16</v>
      </c>
      <c r="K5" s="5">
        <v>1820</v>
      </c>
      <c r="L5" s="6" t="s">
        <v>3</v>
      </c>
      <c r="M5" s="5"/>
      <c r="N5" s="5"/>
      <c r="P5" t="s">
        <v>17</v>
      </c>
      <c r="Q5">
        <v>4.3</v>
      </c>
      <c r="R5" s="10">
        <v>0.12</v>
      </c>
      <c r="S5" s="11">
        <f t="shared" ref="S5:S11" si="0">Q5/(SUM($Q$4:$Q$11))</f>
        <v>6.0992907801418438E-2</v>
      </c>
      <c r="T5" s="11">
        <f t="shared" ref="T5:T11" si="1">R5*S5</f>
        <v>7.3191489361702118E-3</v>
      </c>
      <c r="V5" s="4" t="s">
        <v>18</v>
      </c>
      <c r="W5" s="10">
        <f>K8</f>
        <v>0.23630000000000001</v>
      </c>
      <c r="X5" s="16"/>
      <c r="Y5" s="14">
        <v>0.16</v>
      </c>
    </row>
    <row r="6" spans="1:40" x14ac:dyDescent="0.25">
      <c r="A6" s="3"/>
      <c r="B6" s="3"/>
      <c r="C6" s="3"/>
      <c r="D6" s="3"/>
      <c r="E6" s="3"/>
      <c r="F6" s="3"/>
      <c r="G6" s="3"/>
      <c r="H6" s="3"/>
      <c r="J6" s="4" t="s">
        <v>19</v>
      </c>
      <c r="K6" s="17">
        <v>114.2</v>
      </c>
      <c r="L6" s="18" t="s">
        <v>3</v>
      </c>
      <c r="M6" s="17"/>
      <c r="N6" s="17"/>
      <c r="P6" t="s">
        <v>20</v>
      </c>
      <c r="Q6">
        <v>1.1000000000000001</v>
      </c>
      <c r="R6" s="10">
        <v>0.04</v>
      </c>
      <c r="S6" s="11">
        <f t="shared" si="0"/>
        <v>1.5602836879432626E-2</v>
      </c>
      <c r="T6" s="11">
        <f t="shared" si="1"/>
        <v>6.2411347517730509E-4</v>
      </c>
      <c r="V6" s="4" t="s">
        <v>21</v>
      </c>
      <c r="W6" s="19">
        <f>K4/K3</f>
        <v>0.34900808229243208</v>
      </c>
      <c r="X6" s="16"/>
    </row>
    <row r="7" spans="1:40" x14ac:dyDescent="0.25">
      <c r="A7" s="3"/>
      <c r="B7" s="3"/>
      <c r="C7" s="3"/>
      <c r="D7" s="3"/>
      <c r="E7" s="3"/>
      <c r="F7" s="3"/>
      <c r="G7" s="3"/>
      <c r="H7" s="3"/>
      <c r="J7" s="4" t="s">
        <v>22</v>
      </c>
      <c r="K7" s="17">
        <v>73.8</v>
      </c>
      <c r="L7" s="20" t="s">
        <v>3</v>
      </c>
      <c r="M7" s="11"/>
      <c r="N7" s="11"/>
      <c r="O7" s="12"/>
      <c r="P7" t="s">
        <v>23</v>
      </c>
      <c r="Q7">
        <v>18.399999999999999</v>
      </c>
      <c r="R7" s="10">
        <v>0.04</v>
      </c>
      <c r="S7" s="11">
        <f t="shared" si="0"/>
        <v>0.26099290780141843</v>
      </c>
      <c r="T7" s="11">
        <f t="shared" si="1"/>
        <v>1.0439716312056738E-2</v>
      </c>
      <c r="V7" s="4" t="s">
        <v>24</v>
      </c>
      <c r="W7" s="10">
        <f>1-W6</f>
        <v>0.65099191770756792</v>
      </c>
      <c r="X7" s="16"/>
    </row>
    <row r="8" spans="1:40" x14ac:dyDescent="0.25">
      <c r="A8" s="3"/>
      <c r="B8" s="3"/>
      <c r="C8" s="3"/>
      <c r="D8" s="3"/>
      <c r="E8" s="3"/>
      <c r="F8" s="3"/>
      <c r="G8" s="3"/>
      <c r="H8" s="3"/>
      <c r="J8" s="4" t="s">
        <v>18</v>
      </c>
      <c r="K8" s="10">
        <v>0.23630000000000001</v>
      </c>
      <c r="L8" s="21" t="s">
        <v>25</v>
      </c>
      <c r="M8" s="14"/>
      <c r="N8" s="14"/>
      <c r="P8" t="s">
        <v>26</v>
      </c>
      <c r="Q8">
        <v>6.4</v>
      </c>
      <c r="R8" s="10">
        <v>5.5E-2</v>
      </c>
      <c r="S8" s="11">
        <f t="shared" si="0"/>
        <v>9.0780141843971637E-2</v>
      </c>
      <c r="T8" s="11">
        <f t="shared" si="1"/>
        <v>4.9929078014184398E-3</v>
      </c>
      <c r="V8" s="4" t="s">
        <v>27</v>
      </c>
      <c r="X8" s="22">
        <v>0.376</v>
      </c>
      <c r="Y8" s="10">
        <f>X8</f>
        <v>0.376</v>
      </c>
    </row>
    <row r="9" spans="1:40" x14ac:dyDescent="0.25">
      <c r="A9" s="3"/>
      <c r="B9" s="3"/>
      <c r="C9" s="3"/>
      <c r="D9" s="3"/>
      <c r="E9" s="3"/>
      <c r="F9" s="3"/>
      <c r="G9" s="3"/>
      <c r="H9" s="3"/>
      <c r="J9" s="4" t="s">
        <v>28</v>
      </c>
      <c r="K9" s="23">
        <v>9.2999999999999999E-2</v>
      </c>
      <c r="L9" s="24" t="s">
        <v>29</v>
      </c>
      <c r="P9" t="s">
        <v>30</v>
      </c>
      <c r="Q9">
        <v>5.8</v>
      </c>
      <c r="R9" s="10">
        <v>0.09</v>
      </c>
      <c r="S9" s="11">
        <f t="shared" si="0"/>
        <v>8.2269503546099285E-2</v>
      </c>
      <c r="T9" s="11">
        <f t="shared" si="1"/>
        <v>7.4042553191489349E-3</v>
      </c>
      <c r="V9" s="4" t="s">
        <v>31</v>
      </c>
      <c r="X9" s="25">
        <f>K9</f>
        <v>9.2999999999999999E-2</v>
      </c>
      <c r="Y9" s="10">
        <f>X9</f>
        <v>9.2999999999999999E-2</v>
      </c>
    </row>
    <row r="10" spans="1:40" x14ac:dyDescent="0.25">
      <c r="A10" s="3"/>
      <c r="B10" s="3"/>
      <c r="C10" s="3"/>
      <c r="D10" s="3"/>
      <c r="E10" s="3"/>
      <c r="F10" s="3"/>
      <c r="G10" s="3"/>
      <c r="H10" s="3"/>
      <c r="J10" s="4" t="s">
        <v>32</v>
      </c>
      <c r="K10" s="26"/>
      <c r="L10" s="27" t="s">
        <v>33</v>
      </c>
      <c r="M10" s="26"/>
      <c r="N10" s="26"/>
      <c r="P10" t="s">
        <v>34</v>
      </c>
      <c r="Q10">
        <v>13</v>
      </c>
      <c r="R10" s="10">
        <v>0.04</v>
      </c>
      <c r="S10" s="11">
        <f t="shared" si="0"/>
        <v>0.18439716312056736</v>
      </c>
      <c r="T10" s="11">
        <f t="shared" si="1"/>
        <v>7.3758865248226948E-3</v>
      </c>
      <c r="V10" s="4" t="s">
        <v>35</v>
      </c>
      <c r="X10" s="22">
        <f>(K6-K7)/K7</f>
        <v>0.54742547425474264</v>
      </c>
      <c r="Y10" s="14">
        <v>0.5</v>
      </c>
      <c r="AN10" t="s">
        <v>36</v>
      </c>
    </row>
    <row r="11" spans="1:40" x14ac:dyDescent="0.25">
      <c r="A11" s="3"/>
      <c r="B11" s="3"/>
      <c r="C11" s="3"/>
      <c r="D11" s="3"/>
      <c r="E11" s="3"/>
      <c r="F11" s="3"/>
      <c r="G11" s="3"/>
      <c r="H11" s="3"/>
      <c r="P11" t="s">
        <v>37</v>
      </c>
      <c r="Q11">
        <v>4</v>
      </c>
      <c r="R11" s="10">
        <v>0.08</v>
      </c>
      <c r="S11" s="11">
        <f t="shared" si="0"/>
        <v>5.6737588652482268E-2</v>
      </c>
      <c r="T11" s="11">
        <f t="shared" si="1"/>
        <v>4.5390070921985815E-3</v>
      </c>
      <c r="X11" s="16"/>
      <c r="AN11" t="s">
        <v>38</v>
      </c>
    </row>
    <row r="12" spans="1:40" ht="15.75" customHeight="1" x14ac:dyDescent="0.25">
      <c r="A12" s="28"/>
      <c r="B12" s="28"/>
      <c r="C12" s="28"/>
      <c r="D12" s="28"/>
      <c r="E12" s="28"/>
      <c r="F12" s="28"/>
      <c r="G12" s="28"/>
      <c r="H12" s="28"/>
      <c r="J12" s="4"/>
      <c r="X12" s="16"/>
      <c r="AN12" t="s">
        <v>39</v>
      </c>
    </row>
    <row r="13" spans="1:40" ht="15" customHeight="1" x14ac:dyDescent="0.25">
      <c r="A13" s="3" t="s">
        <v>40</v>
      </c>
      <c r="B13" s="3"/>
      <c r="C13" s="3"/>
      <c r="D13" s="3"/>
      <c r="E13" s="3"/>
      <c r="F13" s="3"/>
      <c r="G13" s="3"/>
      <c r="H13" s="3"/>
      <c r="J13" s="4"/>
      <c r="S13" s="29" t="s">
        <v>41</v>
      </c>
      <c r="T13" s="30">
        <f>SUM(T4:T11)</f>
        <v>5.2624113475177307E-2</v>
      </c>
    </row>
    <row r="14" spans="1:40" ht="15" customHeight="1" x14ac:dyDescent="0.25">
      <c r="A14" s="3"/>
      <c r="B14" s="3"/>
      <c r="C14" s="3"/>
      <c r="D14" s="3"/>
      <c r="E14" s="3"/>
      <c r="F14" s="3"/>
      <c r="G14" s="3"/>
      <c r="H14" s="3"/>
      <c r="J14" s="4"/>
      <c r="K14" s="15"/>
      <c r="L14" s="15"/>
      <c r="M14" s="15"/>
      <c r="N14" s="15"/>
    </row>
    <row r="15" spans="1:40" ht="15" customHeight="1" x14ac:dyDescent="0.25">
      <c r="A15" s="3"/>
      <c r="B15" s="3"/>
      <c r="C15" s="3"/>
      <c r="D15" s="3"/>
      <c r="E15" s="3"/>
      <c r="F15" s="3"/>
      <c r="G15" s="3"/>
      <c r="H15" s="3"/>
      <c r="J15" s="4"/>
      <c r="K15" s="15"/>
      <c r="L15" s="15"/>
      <c r="M15" s="15"/>
      <c r="N15" s="15"/>
      <c r="S15" s="4" t="s">
        <v>42</v>
      </c>
      <c r="T15" s="5">
        <f>T16*(1+(1-T17)*T18)</f>
        <v>0.85000445000000002</v>
      </c>
      <c r="U15" s="12" t="s">
        <v>43</v>
      </c>
      <c r="X15" s="7" t="s">
        <v>44</v>
      </c>
      <c r="Y15" s="7" t="s">
        <v>13</v>
      </c>
      <c r="Z15" s="7" t="s">
        <v>45</v>
      </c>
      <c r="AA15" s="7" t="s">
        <v>27</v>
      </c>
      <c r="AB15" s="7" t="s">
        <v>46</v>
      </c>
      <c r="AC15" s="7" t="s">
        <v>35</v>
      </c>
      <c r="AD15" s="7" t="s">
        <v>47</v>
      </c>
      <c r="AE15" s="7" t="s">
        <v>48</v>
      </c>
      <c r="AF15" s="7" t="s">
        <v>49</v>
      </c>
      <c r="AG15" s="7" t="s">
        <v>31</v>
      </c>
      <c r="AH15" s="7" t="s">
        <v>50</v>
      </c>
      <c r="AI15" s="31" t="s">
        <v>51</v>
      </c>
      <c r="AJ15" s="7" t="s">
        <v>52</v>
      </c>
      <c r="AK15" s="7" t="s">
        <v>53</v>
      </c>
      <c r="AL15" s="7" t="s">
        <v>54</v>
      </c>
    </row>
    <row r="16" spans="1:40" ht="15" customHeight="1" x14ac:dyDescent="0.25">
      <c r="A16" s="3"/>
      <c r="B16" s="3"/>
      <c r="C16" s="3"/>
      <c r="D16" s="3"/>
      <c r="E16" s="3"/>
      <c r="F16" s="3"/>
      <c r="G16" s="3"/>
      <c r="H16" s="3"/>
      <c r="J16" s="32">
        <f>20+(3.1*1)+(2.4*2)-1.8*3</f>
        <v>22.5</v>
      </c>
      <c r="S16" s="4" t="s">
        <v>55</v>
      </c>
      <c r="T16">
        <v>0.79</v>
      </c>
      <c r="X16" s="33">
        <v>0</v>
      </c>
      <c r="Y16" s="23"/>
      <c r="Z16" s="34">
        <f>K3</f>
        <v>108.88</v>
      </c>
      <c r="AB16" s="34">
        <f>K7</f>
        <v>73.8</v>
      </c>
      <c r="AE16" s="34">
        <f>K5</f>
        <v>1820</v>
      </c>
    </row>
    <row r="17" spans="1:38" ht="15" customHeight="1" x14ac:dyDescent="0.25">
      <c r="A17" s="3"/>
      <c r="B17" s="3"/>
      <c r="C17" s="3"/>
      <c r="D17" s="3"/>
      <c r="E17" s="3"/>
      <c r="F17" s="3"/>
      <c r="G17" s="3"/>
      <c r="H17" s="3"/>
      <c r="J17" s="4"/>
      <c r="S17" s="4" t="s">
        <v>56</v>
      </c>
      <c r="T17" s="23">
        <v>0.3095</v>
      </c>
      <c r="X17" s="33">
        <v>1</v>
      </c>
      <c r="Y17" s="23">
        <f t="shared" ref="Y17:Y21" si="2">$X$4</f>
        <v>0.15382939015429831</v>
      </c>
      <c r="Z17" s="34">
        <f>Z16*(1+Y17)</f>
        <v>125.62894399999998</v>
      </c>
      <c r="AA17" s="10">
        <f>$X$8</f>
        <v>0.376</v>
      </c>
      <c r="AB17" s="34">
        <f>AB16*(1+Y17)</f>
        <v>85.152608993387204</v>
      </c>
      <c r="AC17" s="10">
        <f>$X$10</f>
        <v>0.54742547425474264</v>
      </c>
      <c r="AD17" s="34">
        <f>AB17*AC17</f>
        <v>46.614707362233652</v>
      </c>
      <c r="AE17" s="34">
        <f>AE16*(1+Y17)</f>
        <v>2099.9694900808227</v>
      </c>
      <c r="AF17" s="34">
        <f>AE17-AE16</f>
        <v>279.96949008082265</v>
      </c>
      <c r="AG17" s="10">
        <f>$X$9</f>
        <v>9.2999999999999999E-2</v>
      </c>
      <c r="AH17" s="34">
        <f>AF17*AG17</f>
        <v>26.037162577516508</v>
      </c>
      <c r="AI17" s="35">
        <f>Z17-(1-AA17)*(AD17+AH17)</f>
        <v>80.294177157595868</v>
      </c>
      <c r="AJ17" s="23">
        <f>$T$20</f>
        <v>8.4730730631205675E-2</v>
      </c>
      <c r="AK17" s="23"/>
      <c r="AL17" s="34">
        <f>AI17/(1+AJ17)^X17</f>
        <v>74.022220344833983</v>
      </c>
    </row>
    <row r="18" spans="1:38" ht="15" customHeight="1" x14ac:dyDescent="0.25">
      <c r="A18" s="3"/>
      <c r="B18" s="3"/>
      <c r="C18" s="3"/>
      <c r="D18" s="3"/>
      <c r="E18" s="3"/>
      <c r="F18" s="3"/>
      <c r="G18" s="3"/>
      <c r="H18" s="3"/>
      <c r="S18" s="4" t="s">
        <v>57</v>
      </c>
      <c r="T18">
        <v>0.11</v>
      </c>
      <c r="X18" s="33">
        <v>2</v>
      </c>
      <c r="Y18" s="23">
        <f t="shared" si="2"/>
        <v>0.15382939015429831</v>
      </c>
      <c r="Z18" s="34">
        <f t="shared" ref="Z18:Z22" si="3">Z17*(1+Y18)</f>
        <v>144.95436784124846</v>
      </c>
      <c r="AA18" s="10">
        <f t="shared" ref="AA18:AA21" si="4">$X$8</f>
        <v>0.376</v>
      </c>
      <c r="AB18" s="34">
        <f t="shared" ref="AB18:AB22" si="5">AB17*(1+Y18)</f>
        <v>98.251582904887371</v>
      </c>
      <c r="AC18" s="10">
        <f t="shared" ref="AC18:AC21" si="6">$X$10</f>
        <v>0.54742547425474264</v>
      </c>
      <c r="AD18" s="34">
        <f t="shared" ref="AD18:AD22" si="7">AB18*AC18</f>
        <v>53.785419367987132</v>
      </c>
      <c r="AE18" s="34">
        <f t="shared" ref="AE18:AE22" si="8">AE17*(1+Y18)</f>
        <v>2423.006516082588</v>
      </c>
      <c r="AF18" s="34">
        <f t="shared" ref="AF18:AF22" si="9">AE18-AE17</f>
        <v>323.0370260017653</v>
      </c>
      <c r="AG18" s="10">
        <f t="shared" ref="AG18:AG21" si="10">$X$9</f>
        <v>9.2999999999999999E-2</v>
      </c>
      <c r="AH18" s="34">
        <f t="shared" ref="AH18:AH22" si="11">AF18*AG18</f>
        <v>30.042443418164172</v>
      </c>
      <c r="AI18" s="35">
        <f t="shared" ref="AI18:AI22" si="12">Z18-(1-AA18)*(AD18+AH18)</f>
        <v>92.645781462690053</v>
      </c>
      <c r="AJ18" s="23">
        <f t="shared" ref="AJ18:AJ22" si="13">$T$20</f>
        <v>8.4730730631205675E-2</v>
      </c>
      <c r="AK18" s="23"/>
      <c r="AL18" s="34">
        <f>AI18/(1+AJ18)^X18</f>
        <v>78.737525310679942</v>
      </c>
    </row>
    <row r="19" spans="1:38" ht="15" customHeight="1" x14ac:dyDescent="0.25">
      <c r="A19" s="3"/>
      <c r="B19" s="3"/>
      <c r="C19" s="3"/>
      <c r="D19" s="3"/>
      <c r="E19" s="3"/>
      <c r="F19" s="3"/>
      <c r="G19" s="3"/>
      <c r="H19" s="3"/>
      <c r="J19" s="4"/>
      <c r="S19" s="4" t="s">
        <v>58</v>
      </c>
      <c r="T19" s="14">
        <v>0.04</v>
      </c>
      <c r="X19" s="33">
        <v>3</v>
      </c>
      <c r="Y19" s="23">
        <f t="shared" si="2"/>
        <v>0.15382939015429831</v>
      </c>
      <c r="Z19" s="34">
        <f t="shared" si="3"/>
        <v>167.25260984646951</v>
      </c>
      <c r="AA19" s="10">
        <f t="shared" si="4"/>
        <v>0.376</v>
      </c>
      <c r="AB19" s="34">
        <f t="shared" si="5"/>
        <v>113.36556398484066</v>
      </c>
      <c r="AC19" s="10">
        <f t="shared" si="6"/>
        <v>0.54742547425474264</v>
      </c>
      <c r="AD19" s="34">
        <f t="shared" si="7"/>
        <v>62.059197628557769</v>
      </c>
      <c r="AE19" s="34">
        <f t="shared" si="8"/>
        <v>2795.736130791463</v>
      </c>
      <c r="AF19" s="34">
        <f t="shared" si="9"/>
        <v>372.72961470887503</v>
      </c>
      <c r="AG19" s="10">
        <f t="shared" si="10"/>
        <v>9.2999999999999999E-2</v>
      </c>
      <c r="AH19" s="34">
        <f t="shared" si="11"/>
        <v>34.663854167925379</v>
      </c>
      <c r="AI19" s="35">
        <f t="shared" si="12"/>
        <v>106.89742552546403</v>
      </c>
      <c r="AJ19" s="23">
        <f t="shared" si="13"/>
        <v>8.4730730631205675E-2</v>
      </c>
      <c r="AK19" s="23"/>
      <c r="AL19" s="34">
        <f>AI19/(1+AJ19)^X19</f>
        <v>83.753200906011884</v>
      </c>
    </row>
    <row r="20" spans="1:38" ht="15" customHeight="1" x14ac:dyDescent="0.25">
      <c r="A20" s="28"/>
      <c r="B20" s="28"/>
      <c r="C20" s="28"/>
      <c r="D20" s="28"/>
      <c r="E20" s="28"/>
      <c r="F20" s="28"/>
      <c r="G20" s="28"/>
      <c r="H20" s="28"/>
      <c r="S20" s="4" t="s">
        <v>52</v>
      </c>
      <c r="T20" s="23">
        <f>T19+T15*T13</f>
        <v>8.4730730631205675E-2</v>
      </c>
      <c r="X20" s="33">
        <v>4</v>
      </c>
      <c r="Y20" s="23">
        <f t="shared" si="2"/>
        <v>0.15382939015429831</v>
      </c>
      <c r="Z20" s="34">
        <f t="shared" si="3"/>
        <v>192.98097682086669</v>
      </c>
      <c r="AA20" s="10">
        <f t="shared" si="4"/>
        <v>0.376</v>
      </c>
      <c r="AB20" s="34">
        <f t="shared" si="5"/>
        <v>130.80451955712678</v>
      </c>
      <c r="AC20" s="10">
        <f t="shared" si="6"/>
        <v>0.54742547425474264</v>
      </c>
      <c r="AD20" s="34">
        <f t="shared" si="7"/>
        <v>71.605726153223884</v>
      </c>
      <c r="AE20" s="34">
        <f t="shared" si="8"/>
        <v>3225.802514823451</v>
      </c>
      <c r="AF20" s="34">
        <f t="shared" si="9"/>
        <v>430.06638403198804</v>
      </c>
      <c r="AG20" s="10">
        <f t="shared" si="10"/>
        <v>9.2999999999999999E-2</v>
      </c>
      <c r="AH20" s="34">
        <f t="shared" si="11"/>
        <v>39.996173714974887</v>
      </c>
      <c r="AI20" s="35">
        <f t="shared" si="12"/>
        <v>123.34139130311065</v>
      </c>
      <c r="AJ20" s="23">
        <f t="shared" si="13"/>
        <v>8.4730730631205675E-2</v>
      </c>
      <c r="AK20" s="23"/>
      <c r="AL20" s="34">
        <f>AI20/(1+AJ20)^X20</f>
        <v>89.088381103226425</v>
      </c>
    </row>
    <row r="21" spans="1:38" ht="15" customHeight="1" x14ac:dyDescent="0.25">
      <c r="A21" s="28"/>
      <c r="B21" s="28"/>
      <c r="C21" s="28"/>
      <c r="D21" s="28"/>
      <c r="E21" s="28"/>
      <c r="F21" s="28"/>
      <c r="G21" s="28"/>
      <c r="H21" s="28"/>
      <c r="J21" s="4"/>
      <c r="K21" s="11"/>
      <c r="L21" s="11"/>
      <c r="M21" s="11"/>
      <c r="N21" s="11"/>
      <c r="O21" s="12"/>
      <c r="X21" s="33">
        <v>5</v>
      </c>
      <c r="Y21" s="23">
        <f t="shared" si="2"/>
        <v>0.15382939015429831</v>
      </c>
      <c r="Z21" s="34">
        <f t="shared" si="3"/>
        <v>222.66712279660138</v>
      </c>
      <c r="AA21" s="10">
        <f t="shared" si="4"/>
        <v>0.376</v>
      </c>
      <c r="AB21" s="34">
        <f t="shared" si="5"/>
        <v>150.92609903002557</v>
      </c>
      <c r="AC21" s="10">
        <f t="shared" si="6"/>
        <v>0.54742547425474264</v>
      </c>
      <c r="AD21" s="34">
        <f t="shared" si="7"/>
        <v>82.620791338930005</v>
      </c>
      <c r="AE21" s="34">
        <f t="shared" si="8"/>
        <v>3722.025748436944</v>
      </c>
      <c r="AF21" s="34">
        <f t="shared" si="9"/>
        <v>496.22323361349299</v>
      </c>
      <c r="AG21" s="10">
        <f t="shared" si="10"/>
        <v>9.2999999999999999E-2</v>
      </c>
      <c r="AH21" s="34">
        <f t="shared" si="11"/>
        <v>46.148760726054846</v>
      </c>
      <c r="AI21" s="35">
        <f t="shared" si="12"/>
        <v>142.31492230805082</v>
      </c>
      <c r="AJ21" s="23">
        <f t="shared" si="13"/>
        <v>8.4730730631205675E-2</v>
      </c>
      <c r="AK21" s="34">
        <f>AI22/(AJ22-Y22)</f>
        <v>3889.0811911869291</v>
      </c>
      <c r="AL21" s="34">
        <f>(AK21+AI21)/((1+AJ21)^X21)</f>
        <v>2684.3908690781391</v>
      </c>
    </row>
    <row r="22" spans="1:38" x14ac:dyDescent="0.25">
      <c r="J22" s="4"/>
      <c r="K22" s="11"/>
      <c r="L22" s="11"/>
      <c r="M22" s="11"/>
      <c r="N22" s="11"/>
      <c r="X22" s="33" t="s">
        <v>10</v>
      </c>
      <c r="Y22" s="14">
        <f>Y4</f>
        <v>0.04</v>
      </c>
      <c r="Z22" s="34">
        <f t="shared" si="3"/>
        <v>231.57380770846544</v>
      </c>
      <c r="AA22" s="10">
        <f>Y8</f>
        <v>0.376</v>
      </c>
      <c r="AB22" s="34">
        <f t="shared" si="5"/>
        <v>156.96314299122659</v>
      </c>
      <c r="AC22" s="14">
        <f>Y10</f>
        <v>0.5</v>
      </c>
      <c r="AD22" s="34">
        <f t="shared" si="7"/>
        <v>78.481571495613295</v>
      </c>
      <c r="AE22" s="34">
        <f t="shared" si="8"/>
        <v>3870.9067783744217</v>
      </c>
      <c r="AF22" s="34">
        <f t="shared" si="9"/>
        <v>148.88102993747771</v>
      </c>
      <c r="AG22" s="10">
        <f>Y9</f>
        <v>9.2999999999999999E-2</v>
      </c>
      <c r="AH22" s="34">
        <f t="shared" si="11"/>
        <v>13.845935784185427</v>
      </c>
      <c r="AI22" s="35">
        <f t="shared" si="12"/>
        <v>173.96144316587103</v>
      </c>
      <c r="AJ22" s="23">
        <f t="shared" si="13"/>
        <v>8.4730730631205675E-2</v>
      </c>
      <c r="AK22" s="23"/>
    </row>
    <row r="23" spans="1:38" ht="15" customHeight="1" x14ac:dyDescent="0.25">
      <c r="A23" s="28"/>
      <c r="B23" s="28"/>
      <c r="C23" s="28"/>
      <c r="D23" s="28"/>
      <c r="E23" s="28"/>
      <c r="F23" s="28"/>
      <c r="G23" s="28"/>
      <c r="H23" s="28"/>
      <c r="J23" s="4"/>
      <c r="K23" s="36"/>
      <c r="L23" s="36"/>
      <c r="M23" s="36"/>
      <c r="N23" s="36"/>
      <c r="O23" s="24"/>
    </row>
    <row r="24" spans="1:38" ht="15" customHeight="1" x14ac:dyDescent="0.25">
      <c r="A24" s="28"/>
      <c r="B24" s="28"/>
      <c r="C24" s="28"/>
      <c r="D24" s="28"/>
      <c r="E24" s="28"/>
      <c r="F24" s="28"/>
      <c r="G24" s="28"/>
      <c r="H24" s="28"/>
      <c r="J24" s="4"/>
      <c r="K24" s="36"/>
      <c r="L24" s="36"/>
      <c r="M24" s="36"/>
      <c r="N24" s="36"/>
      <c r="O24" s="24"/>
      <c r="AK24" s="37" t="s">
        <v>59</v>
      </c>
      <c r="AL24" s="34">
        <f>SUM(AL17:AL21)</f>
        <v>3009.9921967428913</v>
      </c>
    </row>
    <row r="25" spans="1:38" ht="15" customHeight="1" x14ac:dyDescent="0.25">
      <c r="A25" s="28"/>
      <c r="B25" s="28"/>
      <c r="C25" s="28"/>
      <c r="D25" s="28"/>
      <c r="E25" s="28"/>
      <c r="F25" s="28"/>
      <c r="G25" s="28"/>
      <c r="H25" s="28"/>
      <c r="J25" s="4"/>
      <c r="K25" s="36"/>
      <c r="L25" s="36"/>
      <c r="M25" s="36"/>
      <c r="N25" s="36"/>
      <c r="O25" s="24"/>
    </row>
    <row r="26" spans="1:38" ht="15" customHeight="1" x14ac:dyDescent="0.25">
      <c r="A26" s="28"/>
      <c r="B26" s="28"/>
      <c r="C26" s="28"/>
      <c r="D26" s="28"/>
      <c r="E26" s="28"/>
      <c r="F26" s="28"/>
      <c r="G26" s="28"/>
      <c r="H26" s="28"/>
    </row>
    <row r="27" spans="1:38" ht="15" customHeight="1" x14ac:dyDescent="0.25">
      <c r="A27" s="28"/>
      <c r="B27" s="28"/>
      <c r="C27" s="28"/>
      <c r="D27" s="28"/>
      <c r="E27" s="28"/>
      <c r="F27" s="28"/>
      <c r="G27" s="28"/>
      <c r="H27" s="28"/>
      <c r="J27" s="4"/>
      <c r="K27" s="23"/>
      <c r="L27" s="23"/>
      <c r="M27" s="23"/>
      <c r="N27" s="23"/>
      <c r="O27" s="12"/>
    </row>
    <row r="28" spans="1:38" ht="15" customHeight="1" x14ac:dyDescent="0.25">
      <c r="A28" s="28"/>
      <c r="B28" s="28"/>
      <c r="C28" s="28"/>
      <c r="D28" s="28"/>
      <c r="E28" s="28"/>
      <c r="F28" s="28"/>
      <c r="G28" s="28"/>
      <c r="H28" s="28"/>
    </row>
    <row r="29" spans="1:38" ht="15" customHeight="1" x14ac:dyDescent="0.25">
      <c r="A29" s="28"/>
      <c r="B29" s="28"/>
      <c r="C29" s="28"/>
      <c r="D29" s="28"/>
      <c r="E29" s="28"/>
      <c r="F29" s="28"/>
      <c r="G29" s="28"/>
      <c r="H29" s="28"/>
      <c r="J29" s="4"/>
      <c r="K29" s="38"/>
      <c r="L29" s="38"/>
      <c r="M29" s="38"/>
      <c r="N29" s="38"/>
      <c r="O29" s="15"/>
    </row>
    <row r="30" spans="1:38" ht="15" customHeight="1" x14ac:dyDescent="0.25">
      <c r="A30" s="28"/>
      <c r="B30" s="28"/>
      <c r="C30" s="28"/>
      <c r="D30" s="28"/>
      <c r="E30" s="28"/>
      <c r="F30" s="28"/>
      <c r="G30" s="28"/>
      <c r="H30" s="28"/>
      <c r="J30" s="4"/>
      <c r="K30" s="23"/>
      <c r="L30" s="23"/>
      <c r="M30" s="23"/>
      <c r="N30" s="23"/>
      <c r="O30" s="12"/>
    </row>
    <row r="31" spans="1:38" ht="15" customHeight="1" x14ac:dyDescent="0.25">
      <c r="A31" s="28"/>
      <c r="B31" s="28"/>
      <c r="C31" s="28"/>
      <c r="D31" s="28"/>
      <c r="E31" s="28"/>
      <c r="F31" s="28"/>
      <c r="G31" s="28"/>
      <c r="H31" s="28"/>
      <c r="J31" s="4"/>
      <c r="K31" s="23"/>
      <c r="L31" s="23"/>
      <c r="M31" s="23"/>
      <c r="N31" s="23"/>
      <c r="O31" s="12"/>
    </row>
    <row r="32" spans="1:38" x14ac:dyDescent="0.25">
      <c r="J32" s="4"/>
      <c r="K32" s="39"/>
      <c r="L32" s="39"/>
      <c r="M32" s="39"/>
      <c r="N32" s="39"/>
      <c r="O32" s="12"/>
    </row>
    <row r="35" spans="9:15" x14ac:dyDescent="0.25">
      <c r="J35" s="4"/>
      <c r="K35" s="36"/>
      <c r="L35" s="36"/>
      <c r="M35" s="36"/>
      <c r="N35" s="36"/>
    </row>
    <row r="36" spans="9:15" x14ac:dyDescent="0.25">
      <c r="I36" s="15"/>
      <c r="J36" s="4"/>
      <c r="K36" s="36"/>
      <c r="L36" s="36"/>
      <c r="M36" s="36"/>
      <c r="N36" s="36"/>
      <c r="O36" s="12"/>
    </row>
    <row r="37" spans="9:15" x14ac:dyDescent="0.25">
      <c r="I37" s="15"/>
      <c r="J37" s="4"/>
      <c r="K37" s="36"/>
      <c r="L37" s="36"/>
      <c r="M37" s="36"/>
      <c r="N37" s="36"/>
    </row>
    <row r="38" spans="9:15" x14ac:dyDescent="0.25">
      <c r="I38" s="15"/>
      <c r="J38" s="4"/>
      <c r="K38" s="36"/>
      <c r="L38" s="36"/>
      <c r="M38" s="36"/>
      <c r="N38" s="36"/>
    </row>
    <row r="40" spans="9:15" x14ac:dyDescent="0.25">
      <c r="J40" s="4"/>
      <c r="K40" s="36"/>
      <c r="L40" s="36"/>
      <c r="M40" s="36"/>
      <c r="N40" s="36"/>
    </row>
    <row r="41" spans="9:15" x14ac:dyDescent="0.25">
      <c r="J41" s="4"/>
      <c r="K41" s="40"/>
      <c r="L41" s="40"/>
      <c r="M41" s="40"/>
      <c r="N41" s="40"/>
      <c r="O41" s="40"/>
    </row>
  </sheetData>
  <mergeCells count="3">
    <mergeCell ref="A1:H1"/>
    <mergeCell ref="A3:H11"/>
    <mergeCell ref="A13:H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Valuation-3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HINCAPIE MARTINEZ Juan</dc:creator>
  <cp:lastModifiedBy>HINCAPIE MARTINEZ Juan</cp:lastModifiedBy>
  <dcterms:created xsi:type="dcterms:W3CDTF">2026-10-27T01:57:25Z</dcterms:created>
  <dcterms:modified xsi:type="dcterms:W3CDTF">2026-10-27T01:57:43Z</dcterms:modified>
</cp:coreProperties>
</file>