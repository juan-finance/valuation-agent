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an José\Downloads\Master 2\Valuation techniques\Devin\"/>
    </mc:Choice>
  </mc:AlternateContent>
  <xr:revisionPtr revIDLastSave="0" documentId="8_{8B274A08-CED2-43AF-B4AD-49D6D30DA563}" xr6:coauthVersionLast="47" xr6:coauthVersionMax="47" xr10:uidLastSave="{00000000-0000-0000-0000-000000000000}"/>
  <bookViews>
    <workbookView xWindow="-120" yWindow="-120" windowWidth="20730" windowHeight="11040" xr2:uid="{FE87FAAC-B1E8-4291-A892-9259FD757B01}"/>
  </bookViews>
  <sheets>
    <sheet name="Valuation-2"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0" i="1" l="1"/>
  <c r="N17" i="1"/>
  <c r="M17" i="1"/>
  <c r="M14" i="1"/>
  <c r="N13" i="1"/>
  <c r="N15" i="1" s="1"/>
  <c r="N14" i="1" s="1"/>
  <c r="P30" i="1" s="1"/>
  <c r="M13" i="1"/>
  <c r="K38" i="1" l="1"/>
  <c r="K39" i="1"/>
  <c r="K40" i="1" s="1"/>
  <c r="R30" i="1"/>
  <c r="R26" i="1"/>
  <c r="R29" i="1"/>
  <c r="R28" i="1"/>
  <c r="R27" i="1"/>
  <c r="R25" i="1"/>
  <c r="M15" i="1"/>
  <c r="M12" i="1" s="1"/>
  <c r="P29" i="1"/>
  <c r="P28" i="1"/>
  <c r="P27" i="1"/>
  <c r="P26" i="1"/>
  <c r="P25" i="1"/>
  <c r="N25" i="1" l="1"/>
  <c r="O25" i="1" s="1"/>
  <c r="N26" i="1"/>
  <c r="N28" i="1"/>
  <c r="N29" i="1"/>
  <c r="N27" i="1"/>
  <c r="Q25" i="1" l="1"/>
  <c r="T25" i="1" s="1"/>
  <c r="O26" i="1"/>
  <c r="Q26" i="1" l="1"/>
  <c r="T26" i="1" s="1"/>
  <c r="O27" i="1"/>
  <c r="O28" i="1" l="1"/>
  <c r="Q27" i="1"/>
  <c r="T27" i="1" s="1"/>
  <c r="Q28" i="1" l="1"/>
  <c r="T28" i="1" s="1"/>
  <c r="O29" i="1"/>
  <c r="Q29" i="1" l="1"/>
  <c r="O30" i="1"/>
  <c r="Q30" i="1" s="1"/>
  <c r="S29" i="1" s="1"/>
  <c r="T29" i="1" l="1"/>
  <c r="T31" i="1" s="1"/>
  <c r="K42" i="1" s="1"/>
  <c r="K43" i="1" s="1"/>
  <c r="K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tc={68AC55FB-2367-4C3A-A250-5B1E2CE8689D}</author>
    <author>tc={D5A4DD93-CDF9-4119-9C24-331E28DC9A4F}</author>
    <author>tc={D24531DE-9337-4215-90AA-A278B3A79665}</author>
    <author>tc={FA08915D-95E1-42C3-BFBD-667936A30C01}</author>
  </authors>
  <commentList>
    <comment ref="N16" authorId="0" shapeId="0" xr:uid="{68AC55FB-2367-4C3A-A250-5B1E2CE8689D}">
      <text>
        <t>[Comentario encadenado]
Su versión de Excel le permite leer este comentario encadenado; sin embargo, las ediciones que se apliquen se quitarán si el archivo se abre en una versión más reciente de Excel. Más información: https://go.microsoft.com/fwlink/?linkid=870924
Comentario:
    Assumption due to company grows as the market.</t>
      </text>
    </comment>
    <comment ref="P23" authorId="1" shapeId="0" xr:uid="{D5A4DD93-CDF9-4119-9C24-331E28DC9A4F}">
      <text>
        <t>[Comentario encadenado]
Su versión de Excel le permite leer este comentario encadenado; sin embargo, las ediciones que se apliquen se quitarán si el archivo se abre en una versión más reciente de Excel. Más información: https://go.microsoft.com/fwlink/?linkid=870924
Comentario:
    Payout ratio</t>
      </text>
    </comment>
    <comment ref="Q23" authorId="2" shapeId="0" xr:uid="{D24531DE-9337-4215-90AA-A278B3A79665}">
      <text>
        <t>[Comentario encadenado]
Su versión de Excel le permite leer este comentario encadenado; sin embargo, las ediciones que se apliquen se quitarán si el archivo se abre en una versión más reciente de Excel. Más información: https://go.microsoft.com/fwlink/?linkid=870924
Comentario:
    D = EPS*RR</t>
      </text>
    </comment>
    <comment ref="T23" authorId="3" shapeId="0" xr:uid="{FA08915D-95E1-42C3-BFBD-667936A30C01}">
      <text>
        <t>[Comentario encadenado]
Su versión de Excel le permite leer este comentario encadenado; sin embargo, las ediciones que se apliquen se quitarán si el archivo se abre en una versión más reciente de Excel. Más información: https://go.microsoft.com/fwlink/?linkid=870924
Comentario:
    Grow rate (g) is very close to the Ke. This is why the values do not vary that much.</t>
      </text>
    </comment>
  </commentList>
</comments>
</file>

<file path=xl/sharedStrings.xml><?xml version="1.0" encoding="utf-8"?>
<sst xmlns="http://schemas.openxmlformats.org/spreadsheetml/2006/main" count="46" uniqueCount="37">
  <si>
    <t>ABN Amro, 2003</t>
  </si>
  <si>
    <t>ABN AMRO Bank N.V. is a Dutch state-owned bank with headquarters in Amsterdam. It was re-established, in its current form, in 2009 following the acquisition and break-up of the original ABN AMRO by a banking consortium consisting of Royal Bank of Scotland Group, Santander Group and Fortis. (In October 2007 the bank was acquired, in what was at that time the biggest bank takeover in history, by a consortium made up of the Royal Bank of Scotland Group, Fortis and Banco Santander, known as RFS Holdings B.V.). Following the collapse of Fortis, the acquirer of the Dutch business, it was nationalized by the Dutch government along with Fortis Bank Nederland.</t>
  </si>
  <si>
    <t>ROE</t>
  </si>
  <si>
    <t>EPS</t>
  </si>
  <si>
    <t>DPS</t>
  </si>
  <si>
    <t>gs</t>
  </si>
  <si>
    <t>rf</t>
  </si>
  <si>
    <t>MRP</t>
  </si>
  <si>
    <t>0-5</t>
  </si>
  <si>
    <t>5+</t>
  </si>
  <si>
    <t>Back in 2003 “The Banker and Fortune Global 500” placed ABN AMRO 15th in the list of world’s biggest banks and it had operations in 63 countries, with over 110,000 employees. It was also the second-largest bank in the Netherlands and the eighth-largest in Europe by assets. ROE was 16%, with EPS of E1.85 and DPS of E0.90. A stable growth rate for the Dutch economy is 4%, the European risk free rate (in Euros) was 4.35% with a market risk premium of 4% (Netherlands is AAA rated). The bank was considered to be in a development stage, which was expected to last for 5 years. The beta of the security was slightly lower than the average firm in the market at 0.95 and was expected to change to 1, after the development period. You expect ROE to be the same with required return (cost of equity) on the stable growth stage.</t>
  </si>
  <si>
    <t>g</t>
  </si>
  <si>
    <t>PR</t>
  </si>
  <si>
    <t>=DPS/EPS</t>
  </si>
  <si>
    <t>=1-RR</t>
  </si>
  <si>
    <t>RR</t>
  </si>
  <si>
    <t>=1-PR</t>
  </si>
  <si>
    <t>=g/R</t>
  </si>
  <si>
    <t>beta</t>
  </si>
  <si>
    <t>Ke</t>
  </si>
  <si>
    <t>=rf + bl*MRP</t>
  </si>
  <si>
    <t>STOP &amp; REFLECT</t>
  </si>
  <si>
    <t>a.	What method would you use for the evaluation?
b.	What are the inputs for the development and the stable growth stage?
c.	What are the expected Cash Flows?
d.	What is the required return on equity?
e.	If the market price in 2003 was E18.55, what investment strategy would you suggest? What is the premium you are willing to pay for the high and stable growth stages?
f.	Judging retrospectively, given the nationalization of the bank in 2009, would your strategy be profitable? Would this be a sign of market efficiency or market inefficiency?</t>
  </si>
  <si>
    <t>Years</t>
  </si>
  <si>
    <t>TV</t>
  </si>
  <si>
    <t>DCF</t>
  </si>
  <si>
    <t>=(DPS+TV)/(1+Ke)^t</t>
  </si>
  <si>
    <t>Price</t>
  </si>
  <si>
    <t>STRONG BUY ???</t>
  </si>
  <si>
    <t>Comments:</t>
  </si>
  <si>
    <t>We did NOT take into account the CRP for the countrie where the company operates.</t>
  </si>
  <si>
    <t>We are underestimating the Ke.</t>
  </si>
  <si>
    <t>Assets in place</t>
  </si>
  <si>
    <t>V stable growth</t>
  </si>
  <si>
    <t>Premium stable growth</t>
  </si>
  <si>
    <t>V high growth</t>
  </si>
  <si>
    <t>Premium high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</si>
</sst>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_-* #,##0\ [$€-C0A]_-;\-* #,##0\ [$€-C0A]_-;_-* &quot;-&quot;??\ [$€-C0A]_-;_-@_-"/>
    <numFmt numFmtId="166" formatCode="_-* #,##0.00\ [$€-C0A]_-;\-* #,##0.00\ [$€-C0A]_-;_-* &quot;-&quot;??\ [$€-C0A]_-;_-@_-"/>
    <numFmt numFmtId="167" formatCode="_-* #,##0.0000\ [$€-C0A]_-;\-* #,##0.0000\ [$€-C0A]_-;_-* &quot;-&quot;??\ [$€-C0A]_-;_-@_-"/>
    <numFmt numFmtId="168" formatCode="_-* #,##0.000\ [$€-C0A]_-;\-* #,##0.000\ [$€-C0A]_-;_-* &quot;-&quot;??\ [$€-C0A]_-;_-@_-"/>
    <numFmt numFmtId="169" formatCode="0.0"/>
  </numFmts>
  <fonts count="1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2"/>
      <color theme="1"/>
      <name val="Times New Roman"/>
      <family val="1"/>
    </font>
    <font>
      <sz val="12"/>
      <color theme="1"/>
      <name val="Times New Roman"/>
      <family val="1"/>
    </font>
    <font>
      <i/>
      <sz val="11"/>
      <color theme="1"/>
      <name val="Calibri"/>
      <family val="2"/>
      <scheme val="minor"/>
    </font>
    <font>
      <b/>
      <sz val="11"/>
      <color rgb="FF00B050"/>
      <name val="Calibri"/>
      <family val="2"/>
      <scheme val="minor"/>
    </font>
    <font>
      <u/>
      <sz val="11"/>
      <color theme="1"/>
      <name val="Calibri"/>
      <family val="2"/>
      <scheme val="minor"/>
    </font>
    <font>
      <sz val="9"/>
      <color indexed="81"/>
      <name val="Tahoma"/>
      <charset val="1"/>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s>
  <borders count="4">
    <border>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4" fillId="2" borderId="0" xfId="0" applyFont="1" applyFill="1" applyAlignment="1">
      <alignment horizontal="left"/>
    </xf>
    <xf numFmtId="0" fontId="5" fillId="0" borderId="0" xfId="0" applyFont="1"/>
    <xf numFmtId="0" fontId="5" fillId="0" borderId="0" xfId="0" applyFont="1" applyAlignment="1">
      <alignment horizontal="left" vertical="center" wrapText="1"/>
    </xf>
    <xf numFmtId="0" fontId="3" fillId="0" borderId="0" xfId="0" applyFont="1"/>
    <xf numFmtId="9" fontId="0" fillId="0" borderId="0" xfId="0" applyNumberFormat="1"/>
    <xf numFmtId="2" fontId="0" fillId="0" borderId="0" xfId="0" applyNumberFormat="1"/>
    <xf numFmtId="9" fontId="0" fillId="0" borderId="0" xfId="1" applyFont="1"/>
    <xf numFmtId="10" fontId="0" fillId="0" borderId="0" xfId="1" applyNumberFormat="1" applyFont="1"/>
    <xf numFmtId="0" fontId="6" fillId="0" borderId="0" xfId="0" quotePrefix="1" applyFont="1"/>
    <xf numFmtId="164" fontId="0" fillId="0" borderId="0" xfId="0" applyNumberFormat="1"/>
    <xf numFmtId="0" fontId="3" fillId="0" borderId="1" xfId="0" applyFont="1" applyBorder="1" applyAlignment="1">
      <alignment horizontal="center"/>
    </xf>
    <xf numFmtId="0" fontId="3" fillId="0" borderId="2" xfId="0" applyFont="1" applyBorder="1" applyAlignment="1">
      <alignment horizontal="center"/>
    </xf>
    <xf numFmtId="10" fontId="0" fillId="0" borderId="3" xfId="0" applyNumberFormat="1" applyBorder="1"/>
    <xf numFmtId="9" fontId="0" fillId="0" borderId="3" xfId="0" applyNumberFormat="1" applyBorder="1"/>
    <xf numFmtId="10" fontId="0" fillId="0" borderId="0" xfId="0" applyNumberFormat="1"/>
    <xf numFmtId="0" fontId="0" fillId="0" borderId="0" xfId="0" quotePrefix="1"/>
    <xf numFmtId="10" fontId="0" fillId="0" borderId="3" xfId="1" applyNumberFormat="1" applyFont="1" applyBorder="1"/>
    <xf numFmtId="0" fontId="0" fillId="0" borderId="3" xfId="0" applyBorder="1" applyAlignment="1">
      <alignment horizontal="right"/>
    </xf>
    <xf numFmtId="0" fontId="0" fillId="0" borderId="3" xfId="0" applyBorder="1"/>
    <xf numFmtId="165" fontId="0" fillId="0" borderId="3" xfId="0" applyNumberFormat="1" applyBorder="1"/>
    <xf numFmtId="0" fontId="2" fillId="0" borderId="0" xfId="0" applyFont="1"/>
    <xf numFmtId="165" fontId="0" fillId="0" borderId="0" xfId="0" applyNumberFormat="1"/>
    <xf numFmtId="0" fontId="6" fillId="0" borderId="0" xfId="0" applyFont="1"/>
    <xf numFmtId="0" fontId="3" fillId="0" borderId="0" xfId="0" applyFont="1" applyAlignment="1">
      <alignment horizontal="center"/>
    </xf>
    <xf numFmtId="0" fontId="0" fillId="0" borderId="0" xfId="0" applyAlignment="1">
      <alignment horizontal="center"/>
    </xf>
    <xf numFmtId="166" fontId="0" fillId="0" borderId="0" xfId="0" applyNumberFormat="1"/>
    <xf numFmtId="167" fontId="0" fillId="0" borderId="0" xfId="0" applyNumberFormat="1"/>
    <xf numFmtId="10" fontId="0" fillId="0" borderId="0" xfId="1" applyNumberFormat="1" applyFont="1" applyFill="1"/>
    <xf numFmtId="168" fontId="0" fillId="0" borderId="0" xfId="0" applyNumberFormat="1"/>
    <xf numFmtId="0" fontId="7" fillId="0" borderId="0" xfId="0" applyFont="1"/>
    <xf numFmtId="169" fontId="0" fillId="0" borderId="0" xfId="0" applyNumberFormat="1"/>
    <xf numFmtId="0" fontId="8" fillId="3" borderId="0" xfId="0" applyFont="1" applyFill="1"/>
    <xf numFmtId="0" fontId="0" fillId="3" borderId="0" xfId="0" applyFill="1"/>
    <xf numFmtId="0" fontId="0" fillId="3" borderId="0" xfId="0" applyFill="1" applyAlignment="1">
      <alignment horizontal="left"/>
    </xf>
    <xf numFmtId="0" fontId="0" fillId="0" borderId="0" xfId="0" applyAlignment="1">
      <alignment horizontal="left"/>
    </xf>
    <xf numFmtId="0" fontId="3" fillId="4" borderId="0" xfId="0" applyFont="1" applyFill="1"/>
    <xf numFmtId="166" fontId="0" fillId="4" borderId="0" xfId="0" applyNumberFormat="1" applyFill="1"/>
    <xf numFmtId="0" fontId="3" fillId="5" borderId="0" xfId="0" applyFont="1" applyFill="1"/>
    <xf numFmtId="166" fontId="0" fillId="5" borderId="0" xfId="0" applyNumberFormat="1" applyFill="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578303</xdr:colOff>
      <xdr:row>31</xdr:row>
      <xdr:rowOff>181429</xdr:rowOff>
    </xdr:from>
    <xdr:to>
      <xdr:col>6</xdr:col>
      <xdr:colOff>555625</xdr:colOff>
      <xdr:row>50</xdr:row>
      <xdr:rowOff>174205</xdr:rowOff>
    </xdr:to>
    <xdr:pic>
      <xdr:nvPicPr>
        <xdr:cNvPr id="2" name="Imagen 1">
          <a:extLst>
            <a:ext uri="{FF2B5EF4-FFF2-40B4-BE49-F238E27FC236}">
              <a16:creationId xmlns:a16="http://schemas.microsoft.com/office/drawing/2014/main" id="{F30C62E7-DCE4-4583-92C5-BA9BFDDABD2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3370" t="32217" r="27192" b="38340"/>
        <a:stretch>
          <a:fillRect/>
        </a:stretch>
      </xdr:blipFill>
      <xdr:spPr bwMode="auto">
        <a:xfrm>
          <a:off x="578303" y="6115504"/>
          <a:ext cx="4549322" cy="3612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11337</xdr:colOff>
      <xdr:row>36</xdr:row>
      <xdr:rowOff>34018</xdr:rowOff>
    </xdr:from>
    <xdr:to>
      <xdr:col>22</xdr:col>
      <xdr:colOff>680356</xdr:colOff>
      <xdr:row>55</xdr:row>
      <xdr:rowOff>133458</xdr:rowOff>
    </xdr:to>
    <xdr:pic>
      <xdr:nvPicPr>
        <xdr:cNvPr id="3" name="Imagen 2">
          <a:extLst>
            <a:ext uri="{FF2B5EF4-FFF2-40B4-BE49-F238E27FC236}">
              <a16:creationId xmlns:a16="http://schemas.microsoft.com/office/drawing/2014/main" id="{F47B0C42-E73A-45EF-83B4-1596B019FB0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12" t="30867" r="15932" b="21988"/>
        <a:stretch>
          <a:fillRect/>
        </a:stretch>
      </xdr:blipFill>
      <xdr:spPr bwMode="auto">
        <a:xfrm>
          <a:off x="9526812" y="6920593"/>
          <a:ext cx="8289019" cy="3718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HINCAPIE MARTINEZ Juan" id="{80CB0EE0-4673-48C1-9F32-34280B1A988A}" userId="S::juan.hincapie@audencia.com::252755fe-818b-40c9-aef5-724854b8944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6" dT="2026-10-15T14:09:20.47" personId="{80CB0EE0-4673-48C1-9F32-34280B1A988A}" id="{68AC55FB-2367-4C3A-A250-5B1E2CE8689D}">
    <text>Assumption due to company grows as the market.</text>
  </threadedComment>
  <threadedComment ref="P23" dT="2026-10-15T14:22:27.03" personId="{80CB0EE0-4673-48C1-9F32-34280B1A988A}" id="{D5A4DD93-CDF9-4119-9C24-331E28DC9A4F}">
    <text>Payout ratio</text>
  </threadedComment>
  <threadedComment ref="Q23" dT="2026-10-15T14:23:20.79" personId="{80CB0EE0-4673-48C1-9F32-34280B1A988A}" id="{D24531DE-9337-4215-90AA-A278B3A79665}">
    <text>D = EPS*RR</text>
  </threadedComment>
  <threadedComment ref="T23" dT="2026-10-15T14:32:16.39" personId="{80CB0EE0-4673-48C1-9F32-34280B1A988A}" id="{FA08915D-95E1-42C3-BFBD-667936A30C01}">
    <text>Grow rate (g) is very close to the Ke. This is why the values do not vary that much.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75D0E-E171-484B-A03E-A1F83D68392E}">
  <dimension ref="A1:U45"/>
  <sheetViews>
    <sheetView showGridLines="0" tabSelected="1" zoomScale="84" workbookViewId="0">
      <selection activeCell="L29" sqref="L29"/>
    </sheetView>
  </sheetViews>
  <sheetFormatPr baseColWidth="10" defaultRowHeight="15" x14ac:dyDescent="0.25"/>
  <cols>
    <col min="10" max="10" width="15.28515625" bestFit="1" customWidth="1"/>
    <col min="11" max="11" width="13.140625" bestFit="1" customWidth="1"/>
    <col min="13" max="14" width="11.42578125" customWidth="1"/>
  </cols>
  <sheetData>
    <row r="1" spans="1:15" ht="15.75" x14ac:dyDescent="0.25">
      <c r="A1" s="1" t="s">
        <v>0</v>
      </c>
      <c r="B1" s="1"/>
      <c r="C1" s="1"/>
      <c r="D1" s="1"/>
      <c r="E1" s="1"/>
      <c r="F1" s="1"/>
      <c r="G1" s="1"/>
      <c r="H1" s="1"/>
    </row>
    <row r="2" spans="1:15" ht="15.75" x14ac:dyDescent="0.25">
      <c r="A2" s="2"/>
      <c r="B2" s="2"/>
      <c r="C2" s="2"/>
      <c r="D2" s="2"/>
      <c r="E2" s="2"/>
      <c r="F2" s="2"/>
      <c r="G2" s="2"/>
      <c r="H2" s="2"/>
    </row>
    <row r="3" spans="1:15" x14ac:dyDescent="0.25">
      <c r="A3" s="3" t="s">
        <v>1</v>
      </c>
      <c r="B3" s="3"/>
      <c r="C3" s="3"/>
      <c r="D3" s="3"/>
      <c r="E3" s="3"/>
      <c r="F3" s="3"/>
      <c r="G3" s="3"/>
      <c r="H3" s="3"/>
      <c r="J3" s="4" t="s">
        <v>2</v>
      </c>
      <c r="K3" s="5">
        <v>0.16</v>
      </c>
    </row>
    <row r="4" spans="1:15" x14ac:dyDescent="0.25">
      <c r="A4" s="3"/>
      <c r="B4" s="3"/>
      <c r="C4" s="3"/>
      <c r="D4" s="3"/>
      <c r="E4" s="3"/>
      <c r="F4" s="3"/>
      <c r="G4" s="3"/>
      <c r="H4" s="3"/>
      <c r="J4" s="4" t="s">
        <v>3</v>
      </c>
      <c r="K4" s="6">
        <v>1.85</v>
      </c>
    </row>
    <row r="5" spans="1:15" x14ac:dyDescent="0.25">
      <c r="A5" s="3"/>
      <c r="B5" s="3"/>
      <c r="C5" s="3"/>
      <c r="D5" s="3"/>
      <c r="E5" s="3"/>
      <c r="F5" s="3"/>
      <c r="G5" s="3"/>
      <c r="H5" s="3"/>
      <c r="J5" s="4" t="s">
        <v>4</v>
      </c>
      <c r="K5" s="6">
        <v>0.9</v>
      </c>
    </row>
    <row r="6" spans="1:15" x14ac:dyDescent="0.25">
      <c r="A6" s="3"/>
      <c r="B6" s="3"/>
      <c r="C6" s="3"/>
      <c r="D6" s="3"/>
      <c r="E6" s="3"/>
      <c r="F6" s="3"/>
      <c r="G6" s="3"/>
      <c r="H6" s="3"/>
      <c r="J6" s="4" t="s">
        <v>5</v>
      </c>
      <c r="K6" s="7">
        <v>0.04</v>
      </c>
    </row>
    <row r="7" spans="1:15" x14ac:dyDescent="0.25">
      <c r="A7" s="3"/>
      <c r="B7" s="3"/>
      <c r="C7" s="3"/>
      <c r="D7" s="3"/>
      <c r="E7" s="3"/>
      <c r="F7" s="3"/>
      <c r="G7" s="3"/>
      <c r="H7" s="3"/>
      <c r="J7" s="4" t="s">
        <v>6</v>
      </c>
      <c r="K7" s="8">
        <v>4.3499999999999997E-2</v>
      </c>
      <c r="L7" s="9"/>
    </row>
    <row r="8" spans="1:15" x14ac:dyDescent="0.25">
      <c r="A8" s="3"/>
      <c r="B8" s="3"/>
      <c r="C8" s="3"/>
      <c r="D8" s="3"/>
      <c r="E8" s="3"/>
      <c r="F8" s="3"/>
      <c r="G8" s="3"/>
      <c r="H8" s="3"/>
      <c r="J8" s="4" t="s">
        <v>7</v>
      </c>
      <c r="K8" s="5">
        <v>0.04</v>
      </c>
    </row>
    <row r="9" spans="1:15" x14ac:dyDescent="0.25">
      <c r="A9" s="3"/>
      <c r="B9" s="3"/>
      <c r="C9" s="3"/>
      <c r="D9" s="3"/>
      <c r="E9" s="3"/>
      <c r="F9" s="3"/>
      <c r="G9" s="3"/>
      <c r="H9" s="3"/>
      <c r="J9" s="4"/>
    </row>
    <row r="10" spans="1:15" x14ac:dyDescent="0.25">
      <c r="A10" s="3"/>
      <c r="B10" s="3"/>
      <c r="C10" s="3"/>
      <c r="D10" s="3"/>
      <c r="E10" s="3"/>
      <c r="F10" s="3"/>
      <c r="G10" s="3"/>
      <c r="H10" s="3"/>
      <c r="J10" s="4"/>
      <c r="K10" s="10"/>
    </row>
    <row r="11" spans="1:15" x14ac:dyDescent="0.25">
      <c r="A11" s="3"/>
      <c r="B11" s="3"/>
      <c r="C11" s="3"/>
      <c r="D11" s="3"/>
      <c r="E11" s="3"/>
      <c r="F11" s="3"/>
      <c r="G11" s="3"/>
      <c r="H11" s="3"/>
      <c r="M11" s="11" t="s">
        <v>8</v>
      </c>
      <c r="N11" s="12" t="s">
        <v>9</v>
      </c>
    </row>
    <row r="12" spans="1:15" ht="15.75" customHeight="1" x14ac:dyDescent="0.25">
      <c r="A12" s="3" t="s">
        <v>10</v>
      </c>
      <c r="B12" s="3"/>
      <c r="C12" s="3"/>
      <c r="D12" s="3"/>
      <c r="E12" s="3"/>
      <c r="F12" s="3"/>
      <c r="G12" s="3"/>
      <c r="H12" s="3"/>
      <c r="J12" s="4" t="s">
        <v>11</v>
      </c>
      <c r="M12" s="13">
        <f>M13*M15</f>
        <v>8.2162162162162183E-2</v>
      </c>
      <c r="N12" s="5">
        <v>0.04</v>
      </c>
    </row>
    <row r="13" spans="1:15" ht="15" customHeight="1" x14ac:dyDescent="0.25">
      <c r="A13" s="3"/>
      <c r="B13" s="3"/>
      <c r="C13" s="3"/>
      <c r="D13" s="3"/>
      <c r="E13" s="3"/>
      <c r="F13" s="3"/>
      <c r="G13" s="3"/>
      <c r="H13" s="3"/>
      <c r="J13" s="4" t="s">
        <v>2</v>
      </c>
      <c r="M13" s="14">
        <f>K3</f>
        <v>0.16</v>
      </c>
      <c r="N13" s="15">
        <f>N17</f>
        <v>8.3499999999999991E-2</v>
      </c>
    </row>
    <row r="14" spans="1:15" ht="15" customHeight="1" x14ac:dyDescent="0.25">
      <c r="A14" s="3"/>
      <c r="B14" s="3"/>
      <c r="C14" s="3"/>
      <c r="D14" s="3"/>
      <c r="E14" s="3"/>
      <c r="F14" s="3"/>
      <c r="G14" s="3"/>
      <c r="H14" s="3"/>
      <c r="J14" s="4" t="s">
        <v>12</v>
      </c>
      <c r="K14" s="16" t="s">
        <v>13</v>
      </c>
      <c r="M14" s="17">
        <f>K5/K4</f>
        <v>0.48648648648648646</v>
      </c>
      <c r="N14" s="15">
        <f>1-N15</f>
        <v>0.52095808383233533</v>
      </c>
      <c r="O14" s="9" t="s">
        <v>14</v>
      </c>
    </row>
    <row r="15" spans="1:15" ht="15" customHeight="1" x14ac:dyDescent="0.25">
      <c r="A15" s="3"/>
      <c r="B15" s="3"/>
      <c r="C15" s="3"/>
      <c r="D15" s="3"/>
      <c r="E15" s="3"/>
      <c r="F15" s="3"/>
      <c r="G15" s="3"/>
      <c r="H15" s="3"/>
      <c r="J15" s="4" t="s">
        <v>15</v>
      </c>
      <c r="K15" s="16" t="s">
        <v>16</v>
      </c>
      <c r="M15" s="13">
        <f>1-M14</f>
        <v>0.5135135135135136</v>
      </c>
      <c r="N15" s="15">
        <f>N12/N13</f>
        <v>0.47904191616766473</v>
      </c>
      <c r="O15" s="9" t="s">
        <v>17</v>
      </c>
    </row>
    <row r="16" spans="1:15" ht="15" customHeight="1" x14ac:dyDescent="0.25">
      <c r="A16" s="3"/>
      <c r="B16" s="3"/>
      <c r="C16" s="3"/>
      <c r="D16" s="3"/>
      <c r="E16" s="3"/>
      <c r="F16" s="3"/>
      <c r="G16" s="3"/>
      <c r="H16" s="3"/>
      <c r="J16" s="4" t="s">
        <v>18</v>
      </c>
      <c r="M16" s="18">
        <v>0.95</v>
      </c>
      <c r="N16">
        <v>1</v>
      </c>
    </row>
    <row r="17" spans="1:21" ht="15" customHeight="1" x14ac:dyDescent="0.25">
      <c r="A17" s="3"/>
      <c r="B17" s="3"/>
      <c r="C17" s="3"/>
      <c r="D17" s="3"/>
      <c r="E17" s="3"/>
      <c r="F17" s="3"/>
      <c r="G17" s="3"/>
      <c r="H17" s="3"/>
      <c r="J17" s="4" t="s">
        <v>19</v>
      </c>
      <c r="M17" s="13">
        <f>K7+M16*K8</f>
        <v>8.1499999999999989E-2</v>
      </c>
      <c r="N17" s="15">
        <f>K7+N16*K8</f>
        <v>8.3499999999999991E-2</v>
      </c>
      <c r="O17" s="9" t="s">
        <v>20</v>
      </c>
    </row>
    <row r="18" spans="1:21" ht="15" customHeight="1" x14ac:dyDescent="0.25">
      <c r="A18" s="3"/>
      <c r="B18" s="3"/>
      <c r="C18" s="3"/>
      <c r="D18" s="3"/>
      <c r="E18" s="3"/>
      <c r="F18" s="3"/>
      <c r="G18" s="3"/>
      <c r="H18" s="3"/>
      <c r="M18" s="19"/>
    </row>
    <row r="19" spans="1:21" ht="15" customHeight="1" x14ac:dyDescent="0.25">
      <c r="A19" s="3"/>
      <c r="B19" s="3"/>
      <c r="C19" s="3"/>
      <c r="D19" s="3"/>
      <c r="E19" s="3"/>
      <c r="F19" s="3"/>
      <c r="G19" s="3"/>
      <c r="H19" s="3"/>
      <c r="J19" s="4"/>
      <c r="M19" s="20"/>
    </row>
    <row r="20" spans="1:21" ht="15" customHeight="1" x14ac:dyDescent="0.25">
      <c r="A20" s="3"/>
      <c r="B20" s="3"/>
      <c r="C20" s="3"/>
      <c r="D20" s="3"/>
      <c r="E20" s="3"/>
      <c r="F20" s="3"/>
      <c r="G20" s="3"/>
      <c r="H20" s="3"/>
      <c r="M20" s="19"/>
    </row>
    <row r="21" spans="1:21" x14ac:dyDescent="0.25">
      <c r="A21" s="3"/>
      <c r="B21" s="3"/>
      <c r="C21" s="3"/>
      <c r="D21" s="3"/>
      <c r="E21" s="3"/>
      <c r="F21" s="3"/>
      <c r="G21" s="3"/>
      <c r="H21" s="3"/>
      <c r="J21" s="4"/>
      <c r="K21" s="8"/>
      <c r="L21" s="9"/>
    </row>
    <row r="22" spans="1:21" x14ac:dyDescent="0.25">
      <c r="J22" s="4"/>
      <c r="K22" s="8"/>
      <c r="O22" s="21" t="s">
        <v>21</v>
      </c>
      <c r="Q22" s="21" t="s">
        <v>21</v>
      </c>
    </row>
    <row r="23" spans="1:21" ht="15" customHeight="1" x14ac:dyDescent="0.25">
      <c r="A23" s="3" t="s">
        <v>22</v>
      </c>
      <c r="B23" s="3"/>
      <c r="C23" s="3"/>
      <c r="D23" s="3"/>
      <c r="E23" s="3"/>
      <c r="F23" s="3"/>
      <c r="G23" s="3"/>
      <c r="H23" s="3"/>
      <c r="J23" s="4"/>
      <c r="K23" s="22"/>
      <c r="L23" s="23"/>
      <c r="M23" s="24" t="s">
        <v>23</v>
      </c>
      <c r="N23" s="24" t="s">
        <v>11</v>
      </c>
      <c r="O23" s="24" t="s">
        <v>3</v>
      </c>
      <c r="P23" s="24" t="s">
        <v>12</v>
      </c>
      <c r="Q23" s="24" t="s">
        <v>4</v>
      </c>
      <c r="R23" s="24" t="s">
        <v>19</v>
      </c>
      <c r="S23" s="24" t="s">
        <v>24</v>
      </c>
      <c r="T23" s="24" t="s">
        <v>25</v>
      </c>
    </row>
    <row r="24" spans="1:21" ht="15" customHeight="1" x14ac:dyDescent="0.25">
      <c r="A24" s="3"/>
      <c r="B24" s="3"/>
      <c r="C24" s="3"/>
      <c r="D24" s="3"/>
      <c r="E24" s="3"/>
      <c r="F24" s="3"/>
      <c r="G24" s="3"/>
      <c r="H24" s="3"/>
      <c r="J24" s="4"/>
      <c r="K24" s="22"/>
      <c r="L24" s="23"/>
      <c r="M24" s="25">
        <v>0</v>
      </c>
      <c r="O24">
        <v>1.85</v>
      </c>
    </row>
    <row r="25" spans="1:21" ht="15" customHeight="1" x14ac:dyDescent="0.25">
      <c r="A25" s="3"/>
      <c r="B25" s="3"/>
      <c r="C25" s="3"/>
      <c r="D25" s="3"/>
      <c r="E25" s="3"/>
      <c r="F25" s="3"/>
      <c r="G25" s="3"/>
      <c r="H25" s="3"/>
      <c r="J25" s="4"/>
      <c r="K25" s="22"/>
      <c r="L25" s="23"/>
      <c r="M25" s="25">
        <v>1</v>
      </c>
      <c r="N25" s="15">
        <f>$M$12</f>
        <v>8.2162162162162183E-2</v>
      </c>
      <c r="O25" s="6">
        <f>O24*(1+N25)</f>
        <v>2.0020000000000002</v>
      </c>
      <c r="P25" s="15">
        <f>$M$14</f>
        <v>0.48648648648648646</v>
      </c>
      <c r="Q25" s="26">
        <f>O25*P25</f>
        <v>0.97394594594594597</v>
      </c>
      <c r="R25" s="15">
        <f>$M$17</f>
        <v>8.1499999999999989E-2</v>
      </c>
      <c r="T25" s="27">
        <f>Q25/(1+R25)^M25</f>
        <v>0.90055103647336665</v>
      </c>
    </row>
    <row r="26" spans="1:21" ht="15" customHeight="1" x14ac:dyDescent="0.25">
      <c r="A26" s="3"/>
      <c r="B26" s="3"/>
      <c r="C26" s="3"/>
      <c r="D26" s="3"/>
      <c r="E26" s="3"/>
      <c r="F26" s="3"/>
      <c r="G26" s="3"/>
      <c r="H26" s="3"/>
      <c r="M26" s="25">
        <v>2</v>
      </c>
      <c r="N26" s="15">
        <f t="shared" ref="N26:N29" si="0">$M$12</f>
        <v>8.2162162162162183E-2</v>
      </c>
      <c r="O26" s="6">
        <f t="shared" ref="O26:O30" si="1">O25*(1+N26)</f>
        <v>2.1664886486486492</v>
      </c>
      <c r="P26" s="15">
        <f t="shared" ref="P26:P29" si="2">$M$14</f>
        <v>0.48648648648648646</v>
      </c>
      <c r="Q26" s="26">
        <f t="shared" ref="Q26:Q30" si="3">O26*P26</f>
        <v>1.0539674506939374</v>
      </c>
      <c r="R26" s="15">
        <f t="shared" ref="R26:R29" si="4">$M$17</f>
        <v>8.1499999999999989E-2</v>
      </c>
      <c r="T26" s="27">
        <f>Q26/(1+R26)^M26</f>
        <v>0.90110241032583893</v>
      </c>
    </row>
    <row r="27" spans="1:21" ht="15" customHeight="1" x14ac:dyDescent="0.25">
      <c r="A27" s="3"/>
      <c r="B27" s="3"/>
      <c r="C27" s="3"/>
      <c r="D27" s="3"/>
      <c r="E27" s="3"/>
      <c r="F27" s="3"/>
      <c r="G27" s="3"/>
      <c r="H27" s="3"/>
      <c r="J27" s="4"/>
      <c r="K27" s="15"/>
      <c r="L27" s="9"/>
      <c r="M27" s="25">
        <v>3</v>
      </c>
      <c r="N27" s="15">
        <f t="shared" si="0"/>
        <v>8.2162162162162183E-2</v>
      </c>
      <c r="O27" s="6">
        <f t="shared" si="1"/>
        <v>2.3444920403214033</v>
      </c>
      <c r="P27" s="15">
        <f t="shared" si="2"/>
        <v>0.48648648648648646</v>
      </c>
      <c r="Q27" s="26">
        <f t="shared" si="3"/>
        <v>1.1405636952914935</v>
      </c>
      <c r="R27" s="15">
        <f t="shared" si="4"/>
        <v>8.1499999999999989E-2</v>
      </c>
      <c r="T27" s="27">
        <f>Q27/(1+R27)^M27</f>
        <v>0.90165412176398141</v>
      </c>
    </row>
    <row r="28" spans="1:21" ht="15" customHeight="1" x14ac:dyDescent="0.25">
      <c r="A28" s="3"/>
      <c r="B28" s="3"/>
      <c r="C28" s="3"/>
      <c r="D28" s="3"/>
      <c r="E28" s="3"/>
      <c r="F28" s="3"/>
      <c r="G28" s="3"/>
      <c r="H28" s="3"/>
      <c r="M28" s="25">
        <v>4</v>
      </c>
      <c r="N28" s="15">
        <f t="shared" si="0"/>
        <v>8.2162162162162183E-2</v>
      </c>
      <c r="O28" s="6">
        <f t="shared" si="1"/>
        <v>2.5371205755261892</v>
      </c>
      <c r="P28" s="15">
        <f t="shared" si="2"/>
        <v>0.48648648648648646</v>
      </c>
      <c r="Q28" s="26">
        <f t="shared" si="3"/>
        <v>1.2342748745803083</v>
      </c>
      <c r="R28" s="15">
        <f t="shared" si="4"/>
        <v>8.1499999999999989E-2</v>
      </c>
      <c r="T28" s="27">
        <f>Q28/(1+R28)^M28</f>
        <v>0.90220617099448519</v>
      </c>
    </row>
    <row r="29" spans="1:21" ht="15" customHeight="1" x14ac:dyDescent="0.25">
      <c r="A29" s="3"/>
      <c r="B29" s="3"/>
      <c r="C29" s="3"/>
      <c r="D29" s="3"/>
      <c r="E29" s="3"/>
      <c r="F29" s="3"/>
      <c r="G29" s="3"/>
      <c r="H29" s="3"/>
      <c r="J29" s="4"/>
      <c r="K29" s="28"/>
      <c r="L29" s="16"/>
      <c r="M29" s="25">
        <v>5</v>
      </c>
      <c r="N29" s="15">
        <f t="shared" si="0"/>
        <v>8.2162162162162183E-2</v>
      </c>
      <c r="O29" s="6">
        <f t="shared" si="1"/>
        <v>2.7455758876775302</v>
      </c>
      <c r="P29" s="15">
        <f t="shared" si="2"/>
        <v>0.48648648648648646</v>
      </c>
      <c r="Q29" s="26">
        <f t="shared" si="3"/>
        <v>1.3356855669782579</v>
      </c>
      <c r="R29" s="15">
        <f t="shared" si="4"/>
        <v>8.1499999999999989E-2</v>
      </c>
      <c r="S29" s="26">
        <f>Q30/(R30-N30)</f>
        <v>34.196394289636309</v>
      </c>
      <c r="T29" s="29">
        <f>(Q29+S29)/(1+R29)^M29</f>
        <v>24.015299689605396</v>
      </c>
      <c r="U29" s="9" t="s">
        <v>26</v>
      </c>
    </row>
    <row r="30" spans="1:21" ht="15" customHeight="1" x14ac:dyDescent="0.25">
      <c r="A30" s="3"/>
      <c r="B30" s="3"/>
      <c r="C30" s="3"/>
      <c r="D30" s="3"/>
      <c r="E30" s="3"/>
      <c r="F30" s="3"/>
      <c r="G30" s="3"/>
      <c r="H30" s="3"/>
      <c r="J30" s="4"/>
      <c r="K30" s="15"/>
      <c r="L30" s="9"/>
      <c r="M30" s="25" t="s">
        <v>9</v>
      </c>
      <c r="N30" s="5">
        <f>N12</f>
        <v>0.04</v>
      </c>
      <c r="O30" s="6">
        <f t="shared" si="1"/>
        <v>2.8553989231846315</v>
      </c>
      <c r="P30" s="15">
        <f>N14</f>
        <v>0.52095808383233533</v>
      </c>
      <c r="Q30" s="26">
        <f t="shared" si="3"/>
        <v>1.4875431515991793</v>
      </c>
      <c r="R30" s="15">
        <f>N17</f>
        <v>8.3499999999999991E-2</v>
      </c>
    </row>
    <row r="31" spans="1:21" x14ac:dyDescent="0.25">
      <c r="A31" s="3"/>
      <c r="B31" s="3"/>
      <c r="C31" s="3"/>
      <c r="D31" s="3"/>
      <c r="E31" s="3"/>
      <c r="F31" s="3"/>
      <c r="G31" s="3"/>
      <c r="H31" s="3"/>
      <c r="J31" s="4"/>
      <c r="K31" s="15"/>
      <c r="L31" s="9"/>
      <c r="N31" s="16"/>
      <c r="S31" s="4" t="s">
        <v>27</v>
      </c>
      <c r="T31" s="26">
        <f>SUM(T25:T29)</f>
        <v>27.620813429163068</v>
      </c>
      <c r="U31" s="30" t="s">
        <v>28</v>
      </c>
    </row>
    <row r="32" spans="1:21" x14ac:dyDescent="0.25">
      <c r="J32" s="4"/>
      <c r="K32" s="31"/>
      <c r="L32" s="9"/>
    </row>
    <row r="33" spans="9:20" x14ac:dyDescent="0.25">
      <c r="M33" s="32" t="s">
        <v>29</v>
      </c>
      <c r="N33" s="32"/>
      <c r="O33" s="32"/>
      <c r="P33" s="33"/>
      <c r="Q33" s="33"/>
      <c r="R33" s="33"/>
      <c r="S33" s="33"/>
    </row>
    <row r="34" spans="9:20" x14ac:dyDescent="0.25">
      <c r="M34" s="34" t="s">
        <v>30</v>
      </c>
      <c r="N34" s="34"/>
      <c r="O34" s="34"/>
      <c r="P34" s="34"/>
      <c r="Q34" s="34"/>
      <c r="R34" s="34"/>
      <c r="S34" s="34"/>
      <c r="T34" s="35"/>
    </row>
    <row r="35" spans="9:20" x14ac:dyDescent="0.25">
      <c r="J35" s="4"/>
      <c r="K35" s="22"/>
      <c r="M35" s="34" t="s">
        <v>31</v>
      </c>
      <c r="N35" s="34"/>
      <c r="O35" s="34"/>
      <c r="P35" s="34"/>
      <c r="Q35" s="34"/>
      <c r="R35" s="34"/>
      <c r="S35" s="34"/>
      <c r="T35" s="35"/>
    </row>
    <row r="36" spans="9:20" x14ac:dyDescent="0.25">
      <c r="I36" s="16"/>
      <c r="J36" s="4"/>
      <c r="K36" s="22"/>
      <c r="L36" s="9"/>
    </row>
    <row r="37" spans="9:20" x14ac:dyDescent="0.25">
      <c r="I37" s="16"/>
      <c r="J37" s="4"/>
      <c r="K37" s="22"/>
      <c r="N37" s="35"/>
      <c r="O37" s="35"/>
      <c r="P37" s="35"/>
      <c r="Q37" s="35"/>
      <c r="R37" s="35"/>
      <c r="S37" s="35"/>
      <c r="T37" s="35"/>
    </row>
    <row r="38" spans="9:20" x14ac:dyDescent="0.25">
      <c r="I38" s="16"/>
      <c r="J38" s="36" t="s">
        <v>32</v>
      </c>
      <c r="K38" s="37">
        <f>K5/N17</f>
        <v>10.778443113772456</v>
      </c>
    </row>
    <row r="39" spans="9:20" x14ac:dyDescent="0.25">
      <c r="J39" s="4" t="s">
        <v>33</v>
      </c>
      <c r="K39" s="26">
        <f>K5*(1+N12)/(N17-N12)</f>
        <v>21.517241379310352</v>
      </c>
    </row>
    <row r="40" spans="9:20" x14ac:dyDescent="0.25">
      <c r="J40" s="36" t="s">
        <v>34</v>
      </c>
      <c r="K40" s="37">
        <f>K39-K38</f>
        <v>10.738798265537897</v>
      </c>
      <c r="M40" s="16"/>
    </row>
    <row r="41" spans="9:20" x14ac:dyDescent="0.25">
      <c r="J41" s="4"/>
      <c r="K41" s="26"/>
      <c r="L41" s="26"/>
    </row>
    <row r="42" spans="9:20" x14ac:dyDescent="0.25">
      <c r="J42" s="4" t="s">
        <v>35</v>
      </c>
      <c r="K42" s="26">
        <f>T31</f>
        <v>27.620813429163068</v>
      </c>
    </row>
    <row r="43" spans="9:20" x14ac:dyDescent="0.25">
      <c r="J43" s="36" t="s">
        <v>36</v>
      </c>
      <c r="K43" s="37">
        <f>K42-K39</f>
        <v>6.1035720498527155</v>
      </c>
    </row>
    <row r="45" spans="9:20" x14ac:dyDescent="0.25">
      <c r="J45" s="38" t="s">
        <v>27</v>
      </c>
      <c r="K45" s="39">
        <f>K38+K40+K43</f>
        <v>27.620813429163068</v>
      </c>
    </row>
  </sheetData>
  <mergeCells count="4">
    <mergeCell ref="A1:H1"/>
    <mergeCell ref="A3:H11"/>
    <mergeCell ref="A12:H21"/>
    <mergeCell ref="A23:H31"/>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Valuation-2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HINCAPIE MARTINEZ Juan</dc:creator>
  <cp:lastModifiedBy>HINCAPIE MARTINEZ Juan</cp:lastModifiedBy>
  <dcterms:created xsi:type="dcterms:W3CDTF">2026-10-27T01:55:20Z</dcterms:created>
  <dcterms:modified xsi:type="dcterms:W3CDTF">2026-10-27T01:55:41Z</dcterms:modified>
</cp:coreProperties>
</file>